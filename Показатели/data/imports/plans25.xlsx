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552"/>
  </bookViews>
  <sheets>
    <sheet name="Свод месяца 25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A3" i="1" l="1"/>
  <c r="D3" i="1"/>
  <c r="E3" i="1"/>
  <c r="F3" i="1"/>
  <c r="H3" i="1"/>
  <c r="Y3" i="1"/>
  <c r="C4" i="1"/>
  <c r="E4" i="1"/>
  <c r="G4" i="1"/>
  <c r="K4" i="1"/>
  <c r="L4" i="1"/>
  <c r="M4" i="1" l="1"/>
  <c r="N4" i="1"/>
  <c r="O4" i="1" l="1"/>
  <c r="P4" i="1"/>
  <c r="Q4" i="1" l="1"/>
  <c r="R4" i="1"/>
  <c r="S4" i="1" l="1"/>
  <c r="T4" i="1"/>
  <c r="U4" i="1" l="1"/>
  <c r="V4" i="1"/>
  <c r="W4" i="1" l="1"/>
  <c r="X4" i="1"/>
  <c r="Y4" i="1" l="1"/>
  <c r="C5" i="1"/>
  <c r="E5" i="1"/>
  <c r="G5" i="1"/>
  <c r="K5" i="1"/>
  <c r="L5" i="1"/>
  <c r="M5" i="1" l="1"/>
  <c r="N5" i="1"/>
  <c r="O5" i="1" l="1"/>
  <c r="P5" i="1"/>
  <c r="Q5" i="1" l="1"/>
  <c r="R5" i="1"/>
  <c r="S5" i="1" l="1"/>
  <c r="T5" i="1"/>
  <c r="U5" i="1" l="1"/>
  <c r="V5" i="1"/>
  <c r="W5" i="1" l="1"/>
  <c r="X5" i="1"/>
  <c r="Y5" i="1" l="1"/>
  <c r="C6" i="1"/>
  <c r="E6" i="1"/>
  <c r="G6" i="1"/>
  <c r="K6" i="1"/>
  <c r="L6" i="1"/>
  <c r="M6" i="1" l="1"/>
  <c r="N6" i="1"/>
  <c r="O6" i="1" l="1"/>
  <c r="P6" i="1"/>
  <c r="Q6" i="1" l="1"/>
  <c r="R6" i="1"/>
  <c r="S6" i="1" l="1"/>
  <c r="T6" i="1"/>
  <c r="U6" i="1" l="1"/>
  <c r="V6" i="1"/>
  <c r="W6" i="1" l="1"/>
  <c r="X6" i="1"/>
  <c r="Y6" i="1" l="1"/>
  <c r="C7" i="1"/>
  <c r="C3" i="1" s="1"/>
  <c r="E7" i="1"/>
  <c r="G7" i="1"/>
  <c r="G3" i="1" s="1"/>
  <c r="K7" i="1"/>
  <c r="K3" i="1" s="1"/>
  <c r="L7" i="1"/>
  <c r="L3" i="1" l="1"/>
  <c r="M7" i="1"/>
  <c r="M3" i="1" s="1"/>
  <c r="N7" i="1"/>
  <c r="N3" i="1" l="1"/>
  <c r="O7" i="1"/>
  <c r="O3" i="1" s="1"/>
  <c r="P7" i="1"/>
  <c r="P3" i="1" l="1"/>
  <c r="Q7" i="1"/>
  <c r="Q3" i="1" s="1"/>
  <c r="R7" i="1"/>
  <c r="R3" i="1" l="1"/>
  <c r="S7" i="1"/>
  <c r="S3" i="1" s="1"/>
  <c r="T7" i="1"/>
  <c r="T3" i="1" l="1"/>
  <c r="U7" i="1"/>
  <c r="U3" i="1" s="1"/>
  <c r="V7" i="1"/>
  <c r="V3" i="1" l="1"/>
  <c r="W7" i="1"/>
  <c r="W3" i="1" s="1"/>
  <c r="X7" i="1"/>
  <c r="X3" i="1" l="1"/>
  <c r="Y7" i="1"/>
  <c r="A9" i="1"/>
  <c r="D9" i="1"/>
  <c r="E9" i="1"/>
  <c r="F9" i="1"/>
  <c r="H9" i="1"/>
  <c r="Y9" i="1"/>
  <c r="C10" i="1"/>
  <c r="E10" i="1"/>
  <c r="G10" i="1"/>
  <c r="K10" i="1"/>
  <c r="L10" i="1"/>
  <c r="M10" i="1" l="1"/>
  <c r="N10" i="1"/>
  <c r="O10" i="1" l="1"/>
  <c r="P10" i="1"/>
  <c r="Q10" i="1" l="1"/>
  <c r="R10" i="1"/>
  <c r="S10" i="1" l="1"/>
  <c r="T10" i="1"/>
  <c r="U10" i="1" l="1"/>
  <c r="V10" i="1"/>
  <c r="W10" i="1" l="1"/>
  <c r="X10" i="1"/>
  <c r="Y10" i="1" l="1"/>
  <c r="C11" i="1"/>
  <c r="E11" i="1"/>
  <c r="G11" i="1"/>
  <c r="L11" i="1"/>
  <c r="M11" i="1" l="1"/>
  <c r="N11" i="1"/>
  <c r="O11" i="1" l="1"/>
  <c r="P11" i="1"/>
  <c r="Q11" i="1" l="1"/>
  <c r="R11" i="1"/>
  <c r="S11" i="1" l="1"/>
  <c r="T11" i="1"/>
  <c r="U11" i="1" l="1"/>
  <c r="V11" i="1"/>
  <c r="W11" i="1" l="1"/>
  <c r="X11" i="1"/>
  <c r="C12" i="1" l="1"/>
  <c r="E12" i="1"/>
  <c r="G12" i="1"/>
  <c r="K12" i="1"/>
  <c r="L12" i="1"/>
  <c r="M12" i="1" l="1"/>
  <c r="N12" i="1"/>
  <c r="O12" i="1" l="1"/>
  <c r="P12" i="1"/>
  <c r="Q12" i="1" l="1"/>
  <c r="R12" i="1"/>
  <c r="S12" i="1" l="1"/>
  <c r="T12" i="1"/>
  <c r="U12" i="1" l="1"/>
  <c r="V12" i="1"/>
  <c r="W12" i="1" l="1"/>
  <c r="X12" i="1"/>
  <c r="Y12" i="1" l="1"/>
  <c r="C13" i="1"/>
  <c r="E13" i="1"/>
  <c r="G13" i="1"/>
  <c r="K13" i="1"/>
  <c r="L13" i="1"/>
  <c r="M13" i="1" l="1"/>
  <c r="N13" i="1"/>
  <c r="O13" i="1" l="1"/>
  <c r="P13" i="1"/>
  <c r="Q13" i="1" l="1"/>
  <c r="R13" i="1"/>
  <c r="S13" i="1" l="1"/>
  <c r="T13" i="1"/>
  <c r="U13" i="1" l="1"/>
  <c r="V13" i="1"/>
  <c r="W13" i="1" l="1"/>
  <c r="X13" i="1"/>
  <c r="Y13" i="1" l="1"/>
  <c r="C14" i="1"/>
  <c r="C9" i="1" s="1"/>
  <c r="E14" i="1"/>
  <c r="G14" i="1"/>
  <c r="G9" i="1" s="1"/>
  <c r="K14" i="1"/>
  <c r="K9" i="1" s="1"/>
  <c r="L14" i="1"/>
  <c r="L9" i="1" l="1"/>
  <c r="M14" i="1"/>
  <c r="M9" i="1" s="1"/>
  <c r="N14" i="1"/>
  <c r="N9" i="1" l="1"/>
  <c r="O14" i="1"/>
  <c r="O9" i="1" s="1"/>
  <c r="P14" i="1"/>
  <c r="P9" i="1" l="1"/>
  <c r="Q14" i="1"/>
  <c r="Q9" i="1" s="1"/>
  <c r="R14" i="1"/>
  <c r="R9" i="1" l="1"/>
  <c r="S14" i="1"/>
  <c r="S9" i="1" s="1"/>
  <c r="T14" i="1"/>
  <c r="T9" i="1" l="1"/>
  <c r="U14" i="1"/>
  <c r="U9" i="1" s="1"/>
  <c r="V14" i="1"/>
  <c r="V9" i="1" l="1"/>
  <c r="W14" i="1"/>
  <c r="W9" i="1" s="1"/>
  <c r="X14" i="1"/>
  <c r="X9" i="1" l="1"/>
  <c r="Y14" i="1"/>
  <c r="A16" i="1"/>
  <c r="D16" i="1"/>
  <c r="E16" i="1"/>
  <c r="F16" i="1"/>
  <c r="H16" i="1"/>
  <c r="Y16" i="1"/>
  <c r="C17" i="1"/>
  <c r="E17" i="1"/>
  <c r="G17" i="1"/>
  <c r="K17" i="1"/>
  <c r="L17" i="1"/>
  <c r="M17" i="1" l="1"/>
  <c r="N17" i="1"/>
  <c r="O17" i="1" l="1"/>
  <c r="P17" i="1"/>
  <c r="Q17" i="1" l="1"/>
  <c r="R17" i="1"/>
  <c r="S17" i="1" l="1"/>
  <c r="T17" i="1"/>
  <c r="U17" i="1" l="1"/>
  <c r="V17" i="1"/>
  <c r="W17" i="1" l="1"/>
  <c r="X17" i="1"/>
  <c r="Y17" i="1" l="1"/>
  <c r="C18" i="1"/>
  <c r="E18" i="1"/>
  <c r="G18" i="1"/>
  <c r="K18" i="1"/>
  <c r="L18" i="1"/>
  <c r="M18" i="1" l="1"/>
  <c r="N18" i="1"/>
  <c r="O18" i="1" l="1"/>
  <c r="P18" i="1"/>
  <c r="Q18" i="1" l="1"/>
  <c r="R18" i="1"/>
  <c r="S18" i="1" l="1"/>
  <c r="T18" i="1"/>
  <c r="U18" i="1" l="1"/>
  <c r="V18" i="1"/>
  <c r="W18" i="1" l="1"/>
  <c r="X18" i="1"/>
  <c r="Y18" i="1" l="1"/>
  <c r="A19" i="1"/>
  <c r="C19" i="1"/>
  <c r="E19" i="1"/>
  <c r="G19" i="1"/>
  <c r="K19" i="1"/>
  <c r="L19" i="1"/>
  <c r="M19" i="1" l="1"/>
  <c r="N19" i="1"/>
  <c r="O19" i="1" l="1"/>
  <c r="P19" i="1"/>
  <c r="Q19" i="1" l="1"/>
  <c r="R19" i="1"/>
  <c r="S19" i="1" l="1"/>
  <c r="T19" i="1"/>
  <c r="U19" i="1" l="1"/>
  <c r="V19" i="1"/>
  <c r="W19" i="1" l="1"/>
  <c r="X19" i="1"/>
  <c r="Y19" i="1" l="1"/>
  <c r="C20" i="1"/>
  <c r="E20" i="1"/>
  <c r="G20" i="1"/>
  <c r="K20" i="1"/>
  <c r="L20" i="1"/>
  <c r="M20" i="1" l="1"/>
  <c r="N20" i="1"/>
  <c r="O20" i="1" l="1"/>
  <c r="P20" i="1"/>
  <c r="Q20" i="1" l="1"/>
  <c r="R20" i="1"/>
  <c r="S20" i="1" l="1"/>
  <c r="T20" i="1"/>
  <c r="U20" i="1" l="1"/>
  <c r="V20" i="1"/>
  <c r="W20" i="1" l="1"/>
  <c r="X20" i="1"/>
  <c r="Y20" i="1" l="1"/>
  <c r="C21" i="1"/>
  <c r="E21" i="1"/>
  <c r="G21" i="1"/>
  <c r="K21" i="1"/>
  <c r="L21" i="1"/>
  <c r="M21" i="1" l="1"/>
  <c r="N21" i="1"/>
  <c r="O21" i="1" l="1"/>
  <c r="P21" i="1"/>
  <c r="Q21" i="1" l="1"/>
  <c r="R21" i="1"/>
  <c r="S21" i="1" l="1"/>
  <c r="T21" i="1"/>
  <c r="U21" i="1" l="1"/>
  <c r="V21" i="1"/>
  <c r="W21" i="1" l="1"/>
  <c r="X21" i="1"/>
  <c r="Y21" i="1" l="1"/>
  <c r="A22" i="1"/>
  <c r="C22" i="1"/>
  <c r="E22" i="1"/>
  <c r="G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C23" i="1"/>
  <c r="C16" i="1" s="1"/>
  <c r="E23" i="1"/>
  <c r="G23" i="1"/>
  <c r="G16" i="1" s="1"/>
  <c r="K23" i="1"/>
  <c r="K16" i="1" s="1"/>
  <c r="L23" i="1"/>
  <c r="L16" i="1" l="1"/>
  <c r="M23" i="1"/>
  <c r="M16" i="1" s="1"/>
  <c r="N23" i="1"/>
  <c r="N16" i="1" l="1"/>
  <c r="O23" i="1"/>
  <c r="O16" i="1" s="1"/>
  <c r="P23" i="1"/>
  <c r="P16" i="1" l="1"/>
  <c r="Q23" i="1"/>
  <c r="Q16" i="1" s="1"/>
  <c r="R23" i="1"/>
  <c r="R16" i="1" l="1"/>
  <c r="S23" i="1"/>
  <c r="S16" i="1" s="1"/>
  <c r="T23" i="1"/>
  <c r="T16" i="1" l="1"/>
  <c r="U23" i="1"/>
  <c r="U16" i="1" s="1"/>
  <c r="V23" i="1"/>
  <c r="V16" i="1" l="1"/>
  <c r="W23" i="1"/>
  <c r="W16" i="1" s="1"/>
  <c r="X23" i="1"/>
  <c r="X16" i="1" l="1"/>
  <c r="Y23" i="1"/>
</calcChain>
</file>

<file path=xl/sharedStrings.xml><?xml version="1.0" encoding="utf-8"?>
<sst xmlns="http://schemas.openxmlformats.org/spreadsheetml/2006/main" count="55" uniqueCount="24">
  <si>
    <t xml:space="preserve">ИТОГО </t>
  </si>
  <si>
    <t>Кофейня</t>
  </si>
  <si>
    <t xml:space="preserve">Ритейл </t>
  </si>
  <si>
    <t>Лаборатория</t>
  </si>
  <si>
    <t>Кабинеты</t>
  </si>
  <si>
    <t>Аренда</t>
  </si>
  <si>
    <t>3 745 000</t>
  </si>
  <si>
    <t>факт</t>
  </si>
  <si>
    <t>план</t>
  </si>
  <si>
    <t>Декабрь 2025</t>
  </si>
  <si>
    <t>Ноябрь  2025</t>
  </si>
  <si>
    <t>Октябрь  2025</t>
  </si>
  <si>
    <t>Сентябрь 2025</t>
  </si>
  <si>
    <t>Август 2025</t>
  </si>
  <si>
    <t>Июль 2025</t>
  </si>
  <si>
    <t>Июнь 2025</t>
  </si>
  <si>
    <t>Май 2025</t>
  </si>
  <si>
    <t>Апрель 2025</t>
  </si>
  <si>
    <t>Март 2025</t>
  </si>
  <si>
    <t>Февраль 2025</t>
  </si>
  <si>
    <t>Январь 2025</t>
  </si>
  <si>
    <t>Символ (Шоссе Энтузиастов д.3 к. 1)</t>
  </si>
  <si>
    <t>Матч Поинт (ул. Василисы Кожиной д.13)</t>
  </si>
  <si>
    <t>Шелепиха (Шелепихинская набережная, 34к4)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</si>
</sst>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;\(#,##0\)"/>
    <numFmt numFmtId="166" formatCode="#,##0.0"/>
  </numFmts>
  <fonts count="9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Calibri"/>
      <scheme val="minor"/>
    </font>
    <font>
      <b/>
      <sz val="12"/>
      <color theme="1"/>
      <name val="Calibri"/>
      <scheme val="minor"/>
    </font>
    <font>
      <b/>
      <sz val="10"/>
      <name val="Arial"/>
    </font>
    <font>
      <b/>
      <sz val="10"/>
      <color rgb="FFFF00FF"/>
      <name val="Calibri"/>
      <scheme val="minor"/>
    </font>
    <font>
      <sz val="8"/>
      <color rgb="FF3A3A3A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ont="1" applyAlignment="1"/>
    <xf numFmtId="3" fontId="1" fillId="0" borderId="0" xfId="0" applyNumberFormat="1" applyFont="1"/>
    <xf numFmtId="0" fontId="2" fillId="0" borderId="0" xfId="0" applyFont="1" applyAlignment="1"/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4" fontId="1" fillId="0" borderId="0" xfId="0" applyNumberFormat="1" applyFont="1"/>
    <xf numFmtId="3" fontId="1" fillId="0" borderId="0" xfId="0" applyNumberFormat="1" applyFont="1" applyAlignment="1"/>
    <xf numFmtId="3" fontId="4" fillId="2" borderId="0" xfId="0" applyNumberFormat="1" applyFont="1" applyFill="1"/>
    <xf numFmtId="3" fontId="4" fillId="2" borderId="0" xfId="0" applyNumberFormat="1" applyFont="1" applyFill="1" applyAlignment="1"/>
    <xf numFmtId="3" fontId="1" fillId="2" borderId="0" xfId="0" applyNumberFormat="1" applyFont="1" applyFill="1" applyAlignment="1"/>
    <xf numFmtId="3" fontId="1" fillId="2" borderId="0" xfId="0" applyNumberFormat="1" applyFont="1" applyFill="1"/>
    <xf numFmtId="165" fontId="4" fillId="2" borderId="0" xfId="0" applyNumberFormat="1" applyFont="1" applyFill="1"/>
    <xf numFmtId="0" fontId="5" fillId="2" borderId="0" xfId="0" applyFont="1" applyFill="1" applyAlignment="1"/>
    <xf numFmtId="3" fontId="1" fillId="3" borderId="0" xfId="0" applyNumberFormat="1" applyFont="1" applyFill="1"/>
    <xf numFmtId="0" fontId="3" fillId="0" borderId="0" xfId="0" applyFont="1" applyAlignment="1"/>
    <xf numFmtId="3" fontId="6" fillId="0" borderId="0" xfId="0" applyNumberFormat="1" applyFont="1"/>
    <xf numFmtId="0" fontId="4" fillId="0" borderId="0" xfId="0" applyFont="1" applyAlignment="1"/>
    <xf numFmtId="3" fontId="3" fillId="0" borderId="0" xfId="0" applyNumberFormat="1" applyFont="1"/>
    <xf numFmtId="3" fontId="1" fillId="4" borderId="0" xfId="0" applyNumberFormat="1" applyFont="1" applyFill="1"/>
    <xf numFmtId="3" fontId="4" fillId="4" borderId="0" xfId="0" applyNumberFormat="1" applyFont="1" applyFill="1"/>
    <xf numFmtId="3" fontId="1" fillId="4" borderId="0" xfId="0" applyNumberFormat="1" applyFont="1" applyFill="1" applyAlignment="1">
      <alignment horizontal="right"/>
    </xf>
    <xf numFmtId="3" fontId="4" fillId="4" borderId="0" xfId="0" applyNumberFormat="1" applyFont="1" applyFill="1" applyAlignment="1"/>
    <xf numFmtId="3" fontId="1" fillId="4" borderId="0" xfId="0" applyNumberFormat="1" applyFont="1" applyFill="1" applyAlignment="1"/>
    <xf numFmtId="3" fontId="2" fillId="4" borderId="0" xfId="0" applyNumberFormat="1" applyFont="1" applyFill="1"/>
    <xf numFmtId="3" fontId="1" fillId="5" borderId="0" xfId="0" applyNumberFormat="1" applyFont="1" applyFill="1"/>
    <xf numFmtId="3" fontId="4" fillId="5" borderId="0" xfId="0" applyNumberFormat="1" applyFont="1" applyFill="1" applyAlignment="1">
      <alignment horizontal="center"/>
    </xf>
    <xf numFmtId="3" fontId="2" fillId="5" borderId="0" xfId="0" applyNumberFormat="1" applyFont="1" applyFill="1" applyAlignment="1"/>
    <xf numFmtId="0" fontId="1" fillId="5" borderId="0" xfId="0" applyFont="1" applyFill="1"/>
    <xf numFmtId="4" fontId="1" fillId="5" borderId="0" xfId="0" applyNumberFormat="1" applyFont="1" applyFill="1"/>
    <xf numFmtId="3" fontId="4" fillId="5" borderId="0" xfId="0" applyNumberFormat="1" applyFont="1" applyFill="1"/>
    <xf numFmtId="3" fontId="1" fillId="5" borderId="0" xfId="0" applyNumberFormat="1" applyFont="1" applyFill="1" applyAlignment="1"/>
    <xf numFmtId="0" fontId="1" fillId="5" borderId="0" xfId="0" applyFont="1" applyFill="1" applyAlignment="1"/>
    <xf numFmtId="4" fontId="1" fillId="5" borderId="0" xfId="0" applyNumberFormat="1" applyFont="1" applyFill="1" applyAlignment="1"/>
    <xf numFmtId="0" fontId="7" fillId="5" borderId="0" xfId="0" applyFont="1" applyFill="1" applyAlignment="1"/>
    <xf numFmtId="3" fontId="1" fillId="0" borderId="0" xfId="0" applyNumberFormat="1" applyFont="1" applyAlignment="1">
      <alignment horizontal="right"/>
    </xf>
    <xf numFmtId="0" fontId="7" fillId="0" borderId="0" xfId="0" applyFont="1" applyAlignment="1"/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3" fontId="1" fillId="6" borderId="0" xfId="0" applyNumberFormat="1" applyFont="1" applyFill="1" applyAlignment="1"/>
    <xf numFmtId="0" fontId="7" fillId="6" borderId="0" xfId="0" applyFont="1" applyFill="1" applyAlignment="1"/>
    <xf numFmtId="3" fontId="4" fillId="6" borderId="0" xfId="0" applyNumberFormat="1" applyFont="1" applyFill="1" applyAlignment="1"/>
    <xf numFmtId="166" fontId="7" fillId="6" borderId="0" xfId="0" applyNumberFormat="1" applyFont="1" applyFill="1" applyAlignment="1"/>
    <xf numFmtId="0" fontId="5" fillId="6" borderId="0" xfId="0" applyFont="1" applyFill="1" applyAlignment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nti.LAPTOP-51AE2I66/Downloads/&#1045;&#1078;&#1077;&#1076;&#1085;&#1077;&#1074;&#1085;&#1099;&#1077;,%20&#1077;&#1078;&#1077;&#1084;&#1077;&#1089;&#1103;&#1095;&#1085;&#1099;&#1077;%20&#1087;&#1086;&#1082;&#1072;&#1079;&#1072;&#1090;&#1077;&#1083;&#1080;,%20&#1087;&#1083;&#1072;&#1085;%20(&#1089;%2020-01-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тоги инвентаризаций 2023"/>
      <sheetName val="Месяца 21-23 год "/>
      <sheetName val="Свод месяца 24"/>
      <sheetName val="Апрель24"/>
      <sheetName val="Май 24"/>
      <sheetName val="Февраль23"/>
      <sheetName val="Март23"/>
      <sheetName val="Апрель23 "/>
      <sheetName val="расчет кпи"/>
      <sheetName val="ЯНВАРЬ22"/>
      <sheetName val="ФЕВРАЛЬ22 "/>
      <sheetName val="МАРТ22"/>
      <sheetName val="АПРЕЛЬ22"/>
      <sheetName val="МАЙ22"/>
      <sheetName val="ИЮНЬ22"/>
      <sheetName val="ИЮЛЬ22"/>
      <sheetName val="АВГУСТ22"/>
      <sheetName val="СЕНТЯБРЬ22"/>
      <sheetName val="Октябрь22"/>
      <sheetName val="Ноябрь22"/>
      <sheetName val="Декабрь22 "/>
      <sheetName val="Январь23"/>
      <sheetName val="Май23"/>
      <sheetName val="Июнь23"/>
      <sheetName val="Июль23"/>
      <sheetName val="Август23"/>
      <sheetName val="Сентябрь23 "/>
      <sheetName val="Октябрь23"/>
      <sheetName val="Ноябрь23"/>
      <sheetName val="Декабрь23"/>
      <sheetName val="Январь 24"/>
      <sheetName val="Февраль 24"/>
      <sheetName val="Март 24"/>
      <sheetName val="Июль 24 "/>
      <sheetName val="Август 24  "/>
      <sheetName val="Октябрь 24"/>
      <sheetName val="Сентябрь 24"/>
      <sheetName val="Ноябрь 24"/>
      <sheetName val="Декабрь 24"/>
      <sheetName val="Диаграмма"/>
      <sheetName val="Январь 25"/>
      <sheetName val="Кофейня Январь 25"/>
      <sheetName val="Февраль 2025"/>
      <sheetName val="Кофейня Февраль 25"/>
      <sheetName val="Кофейня Март 25"/>
      <sheetName val="Март 2025"/>
      <sheetName val="Апрель 2025"/>
      <sheetName val="Изъятия Март 25"/>
      <sheetName val="Кофейня Апрель 25"/>
      <sheetName val="Май 2025"/>
      <sheetName val="Кофейня Май 25"/>
      <sheetName val="Июнь 2025"/>
      <sheetName val="Кофейня Июнь 25"/>
      <sheetName val="Июль 2025"/>
      <sheetName val="Кофейня Июль 25"/>
      <sheetName val="Август 2025"/>
      <sheetName val="Кофейня Август 25"/>
      <sheetName val="Сентябрь 2025"/>
      <sheetName val="Кофейня Сентябрь 25"/>
      <sheetName val="Октябрь 2025"/>
      <sheetName val="Кофейня Октябрь 25"/>
      <sheetName val="Ноябрь 2025"/>
      <sheetName val="Кофейня Ноябрь 25"/>
      <sheetName val="Декабрь 2025 "/>
      <sheetName val="Кофейня Декабрь 2025"/>
      <sheetName val="Январь 2026"/>
      <sheetName val="Кофейня Январь 2026"/>
      <sheetName val="Июнь 24"/>
      <sheetName val="ДЕКАБРЬ21"/>
      <sheetName val="НОЯБРЬ21"/>
      <sheetName val="Метрики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6">
          <cell r="E6">
            <v>70613.48</v>
          </cell>
        </row>
        <row r="7">
          <cell r="E7">
            <v>10400</v>
          </cell>
        </row>
        <row r="8">
          <cell r="E8">
            <v>384151.39000000007</v>
          </cell>
        </row>
        <row r="9">
          <cell r="E9">
            <v>399236.23</v>
          </cell>
        </row>
        <row r="19">
          <cell r="E19">
            <v>38746.159999999996</v>
          </cell>
        </row>
        <row r="20">
          <cell r="E20">
            <v>17050</v>
          </cell>
        </row>
        <row r="21">
          <cell r="E21">
            <v>1525044.08</v>
          </cell>
        </row>
        <row r="22">
          <cell r="E22">
            <v>314192.67999999993</v>
          </cell>
        </row>
        <row r="23">
          <cell r="E23">
            <v>104573.73</v>
          </cell>
        </row>
        <row r="35">
          <cell r="E35">
            <v>187645.36999999994</v>
          </cell>
        </row>
        <row r="36">
          <cell r="E36">
            <v>31642</v>
          </cell>
        </row>
        <row r="37">
          <cell r="E37">
            <v>403727.1</v>
          </cell>
        </row>
        <row r="38">
          <cell r="E38">
            <v>927695.71</v>
          </cell>
        </row>
        <row r="39">
          <cell r="E39">
            <v>49500</v>
          </cell>
        </row>
        <row r="40">
          <cell r="E40">
            <v>540560</v>
          </cell>
        </row>
        <row r="49">
          <cell r="E49">
            <v>71200</v>
          </cell>
        </row>
      </sheetData>
      <sheetData sheetId="41" refreshError="1"/>
      <sheetData sheetId="42">
        <row r="3">
          <cell r="E3">
            <v>990264.4</v>
          </cell>
        </row>
        <row r="6">
          <cell r="E6">
            <v>58916.21</v>
          </cell>
        </row>
        <row r="7">
          <cell r="E7">
            <v>4919.28</v>
          </cell>
        </row>
        <row r="8">
          <cell r="E8">
            <v>439867.27</v>
          </cell>
        </row>
        <row r="9">
          <cell r="E9">
            <v>486561.64</v>
          </cell>
        </row>
        <row r="15">
          <cell r="E15">
            <v>2222225.41</v>
          </cell>
        </row>
        <row r="18">
          <cell r="E18">
            <v>53274.599999999991</v>
          </cell>
        </row>
        <row r="19">
          <cell r="E19">
            <v>4880</v>
          </cell>
        </row>
        <row r="20">
          <cell r="E20">
            <v>1683713.8</v>
          </cell>
        </row>
        <row r="21">
          <cell r="E21">
            <v>372727.01</v>
          </cell>
        </row>
        <row r="22">
          <cell r="E22">
            <v>107630</v>
          </cell>
        </row>
        <row r="28">
          <cell r="E28">
            <v>3111472.1500000004</v>
          </cell>
        </row>
        <row r="29">
          <cell r="E29">
            <v>436880.68000000005</v>
          </cell>
        </row>
        <row r="30">
          <cell r="E30">
            <v>2674590.87</v>
          </cell>
        </row>
        <row r="31">
          <cell r="E31">
            <v>90250</v>
          </cell>
        </row>
        <row r="32">
          <cell r="E32">
            <v>263873.18</v>
          </cell>
        </row>
        <row r="33">
          <cell r="E33">
            <v>30490</v>
          </cell>
        </row>
      </sheetData>
      <sheetData sheetId="43" refreshError="1"/>
      <sheetData sheetId="44">
        <row r="22">
          <cell r="E22">
            <v>1848019.4699999997</v>
          </cell>
        </row>
        <row r="38">
          <cell r="E38">
            <v>728363.87</v>
          </cell>
        </row>
      </sheetData>
      <sheetData sheetId="45">
        <row r="6">
          <cell r="E6">
            <v>109607.56</v>
          </cell>
        </row>
        <row r="7">
          <cell r="E7">
            <v>20790</v>
          </cell>
        </row>
        <row r="8">
          <cell r="E8">
            <v>607354.29</v>
          </cell>
        </row>
        <row r="9">
          <cell r="E9">
            <v>720356.57</v>
          </cell>
        </row>
        <row r="22">
          <cell r="E22">
            <v>62329.94000000001</v>
          </cell>
        </row>
        <row r="23">
          <cell r="E23">
            <v>36174</v>
          </cell>
        </row>
        <row r="25">
          <cell r="E25">
            <v>598335.37</v>
          </cell>
        </row>
        <row r="26">
          <cell r="E26">
            <v>137280</v>
          </cell>
        </row>
        <row r="39">
          <cell r="E39">
            <v>126400</v>
          </cell>
        </row>
        <row r="40">
          <cell r="E40">
            <v>306457.24</v>
          </cell>
        </row>
        <row r="41">
          <cell r="E41">
            <v>11884</v>
          </cell>
        </row>
        <row r="43">
          <cell r="E43">
            <v>1828906</v>
          </cell>
        </row>
        <row r="44">
          <cell r="E44">
            <v>110000</v>
          </cell>
        </row>
        <row r="45">
          <cell r="E45">
            <v>428660</v>
          </cell>
        </row>
      </sheetData>
      <sheetData sheetId="46"/>
      <sheetData sheetId="47" refreshError="1"/>
      <sheetData sheetId="48" refreshError="1"/>
      <sheetData sheetId="49">
        <row r="6">
          <cell r="E6">
            <v>816963</v>
          </cell>
        </row>
        <row r="7">
          <cell r="E7">
            <v>111826</v>
          </cell>
        </row>
        <row r="8">
          <cell r="E8">
            <v>7330</v>
          </cell>
        </row>
        <row r="9">
          <cell r="E9">
            <v>696775.85</v>
          </cell>
        </row>
        <row r="17">
          <cell r="E17">
            <v>900145.16</v>
          </cell>
        </row>
        <row r="18">
          <cell r="E18">
            <v>113756.72000000002</v>
          </cell>
        </row>
        <row r="19">
          <cell r="E19">
            <v>27400</v>
          </cell>
        </row>
        <row r="20">
          <cell r="E20">
            <v>2009147.05</v>
          </cell>
        </row>
        <row r="28">
          <cell r="E28">
            <v>2280678.3999999999</v>
          </cell>
        </row>
        <row r="29">
          <cell r="E29">
            <v>448920</v>
          </cell>
        </row>
        <row r="30">
          <cell r="E30">
            <v>208980</v>
          </cell>
        </row>
        <row r="31">
          <cell r="E31">
            <v>353488.00000000006</v>
          </cell>
        </row>
        <row r="32">
          <cell r="E32">
            <v>30218</v>
          </cell>
        </row>
        <row r="33">
          <cell r="E33">
            <v>107300</v>
          </cell>
        </row>
        <row r="34">
          <cell r="E34">
            <v>806140.14</v>
          </cell>
        </row>
      </sheetData>
      <sheetData sheetId="50" refreshError="1"/>
      <sheetData sheetId="51">
        <row r="6">
          <cell r="E6">
            <v>612347</v>
          </cell>
        </row>
        <row r="9">
          <cell r="E9">
            <v>86900.55</v>
          </cell>
        </row>
        <row r="10">
          <cell r="E10">
            <v>26220</v>
          </cell>
        </row>
        <row r="12">
          <cell r="E12">
            <v>580626.44999999995</v>
          </cell>
        </row>
        <row r="20">
          <cell r="E20">
            <v>923910</v>
          </cell>
        </row>
        <row r="21">
          <cell r="E21">
            <v>0</v>
          </cell>
        </row>
        <row r="23">
          <cell r="E23">
            <v>93157.769999999975</v>
          </cell>
        </row>
        <row r="24">
          <cell r="E24">
            <v>12350</v>
          </cell>
        </row>
        <row r="26">
          <cell r="E26">
            <v>2107788.25</v>
          </cell>
        </row>
        <row r="34">
          <cell r="E34">
            <v>1869019.34</v>
          </cell>
        </row>
        <row r="35">
          <cell r="E35">
            <v>375000</v>
          </cell>
        </row>
        <row r="36">
          <cell r="E36">
            <v>147000</v>
          </cell>
        </row>
        <row r="37">
          <cell r="E37">
            <v>303908.97999999992</v>
          </cell>
        </row>
        <row r="38">
          <cell r="E38">
            <v>74183.98</v>
          </cell>
        </row>
        <row r="39">
          <cell r="E39">
            <v>95200</v>
          </cell>
        </row>
        <row r="40">
          <cell r="E40">
            <v>763698.07000000007</v>
          </cell>
        </row>
      </sheetData>
      <sheetData sheetId="52" refreshError="1"/>
      <sheetData sheetId="53">
        <row r="6">
          <cell r="E6">
            <v>623706.17999999993</v>
          </cell>
        </row>
        <row r="9">
          <cell r="E9">
            <v>106042.12</v>
          </cell>
        </row>
        <row r="10">
          <cell r="E10">
            <v>7900</v>
          </cell>
        </row>
        <row r="12">
          <cell r="E12">
            <v>595928.32000000007</v>
          </cell>
        </row>
        <row r="20">
          <cell r="E20">
            <v>751830</v>
          </cell>
        </row>
        <row r="21">
          <cell r="E21">
            <v>0</v>
          </cell>
        </row>
        <row r="23">
          <cell r="E23">
            <v>126734.84000000001</v>
          </cell>
        </row>
        <row r="24">
          <cell r="E24">
            <v>17114</v>
          </cell>
        </row>
        <row r="26">
          <cell r="E26">
            <v>2156843.63</v>
          </cell>
        </row>
        <row r="34">
          <cell r="E34">
            <v>1683038.74</v>
          </cell>
        </row>
        <row r="35">
          <cell r="E35">
            <v>386700</v>
          </cell>
        </row>
        <row r="36">
          <cell r="E36">
            <v>159030</v>
          </cell>
        </row>
        <row r="37">
          <cell r="E37">
            <v>264700.46000000008</v>
          </cell>
        </row>
        <row r="38">
          <cell r="E38">
            <v>51168</v>
          </cell>
        </row>
        <row r="39">
          <cell r="E39">
            <v>163020</v>
          </cell>
        </row>
        <row r="40">
          <cell r="E40">
            <v>744571.85</v>
          </cell>
        </row>
      </sheetData>
      <sheetData sheetId="54" refreshError="1"/>
      <sheetData sheetId="55">
        <row r="6">
          <cell r="E6">
            <v>720540.17999999993</v>
          </cell>
        </row>
        <row r="9">
          <cell r="E9">
            <v>117875.02</v>
          </cell>
        </row>
        <row r="10">
          <cell r="E10">
            <v>4720</v>
          </cell>
        </row>
        <row r="12">
          <cell r="E12">
            <v>597349.25</v>
          </cell>
        </row>
        <row r="20">
          <cell r="E20">
            <v>853900</v>
          </cell>
        </row>
        <row r="21">
          <cell r="E21">
            <v>0</v>
          </cell>
        </row>
        <row r="23">
          <cell r="E23">
            <v>138002.70000000001</v>
          </cell>
        </row>
        <row r="24">
          <cell r="E24">
            <v>7020</v>
          </cell>
        </row>
        <row r="26">
          <cell r="E26">
            <v>2205772.35</v>
          </cell>
        </row>
        <row r="34">
          <cell r="E34">
            <v>1893326.0100000002</v>
          </cell>
        </row>
        <row r="35">
          <cell r="E35">
            <v>424900</v>
          </cell>
        </row>
        <row r="36">
          <cell r="E36">
            <v>140300</v>
          </cell>
        </row>
        <row r="37">
          <cell r="E37">
            <v>339773.2</v>
          </cell>
        </row>
        <row r="38">
          <cell r="E38">
            <v>62586</v>
          </cell>
        </row>
        <row r="39">
          <cell r="E39">
            <v>141220</v>
          </cell>
        </row>
        <row r="40">
          <cell r="E40">
            <v>827429.41999999993</v>
          </cell>
        </row>
      </sheetData>
      <sheetData sheetId="56" refreshError="1"/>
      <sheetData sheetId="57">
        <row r="6">
          <cell r="E6">
            <v>638003.71000000008</v>
          </cell>
        </row>
        <row r="9">
          <cell r="E9">
            <v>111179.49</v>
          </cell>
        </row>
        <row r="10">
          <cell r="E10">
            <v>7600</v>
          </cell>
        </row>
        <row r="12">
          <cell r="E12">
            <v>508618.2</v>
          </cell>
        </row>
        <row r="20">
          <cell r="E20">
            <v>815670</v>
          </cell>
        </row>
        <row r="21">
          <cell r="E21">
            <v>0</v>
          </cell>
        </row>
        <row r="23">
          <cell r="E23">
            <v>132228.19999999998</v>
          </cell>
        </row>
        <row r="24">
          <cell r="E24">
            <v>6440</v>
          </cell>
        </row>
        <row r="26">
          <cell r="E26">
            <v>2252421.5300000003</v>
          </cell>
        </row>
        <row r="34">
          <cell r="E34">
            <v>1841231.04</v>
          </cell>
        </row>
        <row r="35">
          <cell r="E35">
            <v>472240</v>
          </cell>
        </row>
        <row r="36">
          <cell r="E36">
            <v>184520</v>
          </cell>
        </row>
        <row r="37">
          <cell r="E37">
            <v>271835.66000000003</v>
          </cell>
        </row>
        <row r="38">
          <cell r="E38">
            <v>43015</v>
          </cell>
        </row>
        <row r="39">
          <cell r="E39">
            <v>85300</v>
          </cell>
        </row>
        <row r="40">
          <cell r="E40">
            <v>717488.5</v>
          </cell>
        </row>
      </sheetData>
      <sheetData sheetId="58" refreshError="1"/>
      <sheetData sheetId="59">
        <row r="6">
          <cell r="E6">
            <v>580266.41999999993</v>
          </cell>
        </row>
        <row r="9">
          <cell r="E9">
            <v>120256.77999999998</v>
          </cell>
        </row>
        <row r="10">
          <cell r="E10">
            <v>25360</v>
          </cell>
        </row>
        <row r="12">
          <cell r="E12">
            <v>461231.14999999997</v>
          </cell>
        </row>
        <row r="20">
          <cell r="E20">
            <v>943700</v>
          </cell>
        </row>
        <row r="21">
          <cell r="E21">
            <v>0</v>
          </cell>
        </row>
        <row r="23">
          <cell r="E23">
            <v>112845.15000000001</v>
          </cell>
        </row>
        <row r="24">
          <cell r="E24">
            <v>6992</v>
          </cell>
        </row>
        <row r="26">
          <cell r="E26">
            <v>2083656.03</v>
          </cell>
        </row>
        <row r="34">
          <cell r="E34">
            <v>1867417.65</v>
          </cell>
        </row>
        <row r="35">
          <cell r="E35">
            <v>305000</v>
          </cell>
        </row>
        <row r="36">
          <cell r="E36">
            <v>351790</v>
          </cell>
        </row>
        <row r="37">
          <cell r="E37">
            <v>230264.05000000002</v>
          </cell>
        </row>
        <row r="38">
          <cell r="E38">
            <v>58971</v>
          </cell>
        </row>
        <row r="39">
          <cell r="E39">
            <v>84086</v>
          </cell>
        </row>
        <row r="40">
          <cell r="E40">
            <v>700622.86</v>
          </cell>
        </row>
      </sheetData>
      <sheetData sheetId="60" refreshError="1"/>
      <sheetData sheetId="61">
        <row r="6">
          <cell r="E6">
            <v>619243.41</v>
          </cell>
        </row>
        <row r="9">
          <cell r="E9">
            <v>112942.89000000001</v>
          </cell>
        </row>
        <row r="10">
          <cell r="E10">
            <v>4280</v>
          </cell>
        </row>
        <row r="12">
          <cell r="E12">
            <v>511955.5</v>
          </cell>
        </row>
        <row r="20">
          <cell r="E20">
            <v>785947.39</v>
          </cell>
        </row>
        <row r="21">
          <cell r="E21">
            <v>0</v>
          </cell>
        </row>
        <row r="23">
          <cell r="E23">
            <v>121822.51000000001</v>
          </cell>
        </row>
        <row r="24">
          <cell r="E24">
            <v>5888</v>
          </cell>
        </row>
        <row r="26">
          <cell r="E26">
            <v>1971051.6900000002</v>
          </cell>
        </row>
        <row r="34">
          <cell r="E34">
            <v>2018625.28</v>
          </cell>
        </row>
        <row r="35">
          <cell r="E35">
            <v>410000</v>
          </cell>
        </row>
        <row r="36">
          <cell r="E36">
            <v>214215</v>
          </cell>
        </row>
        <row r="37">
          <cell r="E37">
            <v>240123.44999999998</v>
          </cell>
        </row>
        <row r="38">
          <cell r="E38">
            <v>13320</v>
          </cell>
        </row>
        <row r="39">
          <cell r="E39">
            <v>58500</v>
          </cell>
        </row>
        <row r="40">
          <cell r="E40">
            <v>704815.2</v>
          </cell>
        </row>
      </sheetData>
      <sheetData sheetId="62" refreshError="1"/>
      <sheetData sheetId="63">
        <row r="3">
          <cell r="E3">
            <v>1663910.9900000002</v>
          </cell>
        </row>
        <row r="6">
          <cell r="E6">
            <v>851506.39999999991</v>
          </cell>
        </row>
        <row r="9">
          <cell r="E9">
            <v>200849.83000000002</v>
          </cell>
        </row>
        <row r="10">
          <cell r="E10">
            <v>13913.509999999998</v>
          </cell>
        </row>
        <row r="12">
          <cell r="E12">
            <v>597641.25</v>
          </cell>
        </row>
        <row r="17">
          <cell r="E17">
            <v>3364982.65</v>
          </cell>
        </row>
        <row r="20">
          <cell r="E20">
            <v>1035300.96</v>
          </cell>
        </row>
        <row r="23">
          <cell r="E23">
            <v>160504.5</v>
          </cell>
        </row>
        <row r="24">
          <cell r="E24">
            <v>16405.79</v>
          </cell>
        </row>
        <row r="26">
          <cell r="E26">
            <v>2152771.4</v>
          </cell>
        </row>
        <row r="31">
          <cell r="E31">
            <v>4056987.05</v>
          </cell>
        </row>
        <row r="34">
          <cell r="E34">
            <v>2165289.62</v>
          </cell>
        </row>
        <row r="35">
          <cell r="E35">
            <v>470000</v>
          </cell>
        </row>
        <row r="36">
          <cell r="E36">
            <v>119080</v>
          </cell>
        </row>
        <row r="37">
          <cell r="E37">
            <v>251442.08000000002</v>
          </cell>
        </row>
        <row r="38">
          <cell r="E38">
            <v>81574.099999999991</v>
          </cell>
        </row>
        <row r="39">
          <cell r="E39">
            <v>143300</v>
          </cell>
        </row>
        <row r="40">
          <cell r="E40">
            <v>826301.25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76"/>
  <sheetViews>
    <sheetView tabSelected="1" workbookViewId="0">
      <pane xSplit="1" topLeftCell="B1" activePane="topRight" state="frozen"/>
      <selection pane="topRight" activeCell="T29" sqref="T29"/>
    </sheetView>
  </sheetViews>
  <sheetFormatPr defaultColWidth="12.6640625" defaultRowHeight="15.75" customHeight="1" x14ac:dyDescent="0.3"/>
  <cols>
    <col min="1" max="1" width="14.6640625" style="1" customWidth="1"/>
    <col min="2" max="2" width="14.5546875" style="1" customWidth="1"/>
    <col min="3" max="3" width="12.88671875" style="1" customWidth="1"/>
    <col min="4" max="4" width="13.44140625" style="1" customWidth="1"/>
    <col min="5" max="5" width="12.33203125" style="1" customWidth="1"/>
    <col min="6" max="6" width="12.109375" style="1" customWidth="1"/>
    <col min="7" max="7" width="10.44140625" style="1" customWidth="1"/>
    <col min="8" max="8" width="11.109375" style="1" customWidth="1"/>
    <col min="9" max="9" width="11.77734375" style="1" customWidth="1"/>
    <col min="10" max="11" width="10.21875" style="1" customWidth="1"/>
    <col min="12" max="12" width="11.21875" style="1" customWidth="1"/>
    <col min="13" max="13" width="10.6640625" style="1" customWidth="1"/>
    <col min="14" max="14" width="11.33203125" style="1" customWidth="1"/>
    <col min="15" max="15" width="10" style="1" customWidth="1"/>
    <col min="16" max="16" width="11.33203125" style="1" customWidth="1"/>
    <col min="17" max="17" width="10" style="1" customWidth="1"/>
    <col min="18" max="18" width="13.77734375" style="1" customWidth="1"/>
    <col min="19" max="19" width="11" style="1" customWidth="1"/>
    <col min="20" max="16384" width="12.6640625" style="1"/>
  </cols>
  <sheetData>
    <row r="1" spans="1:28" ht="15.75" customHeight="1" x14ac:dyDescent="0.3">
      <c r="A1" s="43" t="s">
        <v>0</v>
      </c>
      <c r="B1" s="40" t="s">
        <v>20</v>
      </c>
      <c r="C1" s="41"/>
      <c r="D1" s="40" t="s">
        <v>19</v>
      </c>
      <c r="E1" s="41"/>
      <c r="F1" s="40" t="s">
        <v>18</v>
      </c>
      <c r="G1" s="41"/>
      <c r="H1" s="40" t="s">
        <v>17</v>
      </c>
      <c r="I1" s="41"/>
      <c r="J1" s="40" t="s">
        <v>16</v>
      </c>
      <c r="K1" s="41"/>
      <c r="L1" s="40" t="s">
        <v>15</v>
      </c>
      <c r="M1" s="41"/>
      <c r="N1" s="42" t="s">
        <v>14</v>
      </c>
      <c r="O1" s="41"/>
      <c r="P1" s="42" t="s">
        <v>13</v>
      </c>
      <c r="Q1" s="39"/>
      <c r="R1" s="42" t="s">
        <v>12</v>
      </c>
      <c r="S1" s="41"/>
      <c r="T1" s="40" t="s">
        <v>11</v>
      </c>
      <c r="U1" s="39"/>
      <c r="V1" s="40" t="s">
        <v>10</v>
      </c>
      <c r="W1" s="39"/>
      <c r="X1" s="40" t="s">
        <v>9</v>
      </c>
      <c r="Y1" s="39"/>
      <c r="Z1" s="39"/>
    </row>
    <row r="2" spans="1:28" ht="15.75" customHeight="1" x14ac:dyDescent="0.3">
      <c r="A2" s="44" t="s">
        <v>23</v>
      </c>
      <c r="B2" s="37" t="s">
        <v>8</v>
      </c>
      <c r="C2" s="38" t="s">
        <v>7</v>
      </c>
      <c r="D2" s="37" t="s">
        <v>8</v>
      </c>
      <c r="E2" s="38" t="s">
        <v>7</v>
      </c>
      <c r="F2" s="37" t="s">
        <v>8</v>
      </c>
      <c r="G2" s="38" t="s">
        <v>7</v>
      </c>
      <c r="H2" s="37" t="s">
        <v>8</v>
      </c>
      <c r="I2" s="38" t="s">
        <v>7</v>
      </c>
      <c r="J2" s="37" t="s">
        <v>8</v>
      </c>
      <c r="K2" s="26" t="s">
        <v>7</v>
      </c>
      <c r="L2" s="37" t="s">
        <v>8</v>
      </c>
      <c r="M2" s="38" t="s">
        <v>7</v>
      </c>
      <c r="N2" s="37" t="s">
        <v>8</v>
      </c>
      <c r="O2" s="38" t="s">
        <v>7</v>
      </c>
      <c r="P2" s="37" t="s">
        <v>8</v>
      </c>
      <c r="Q2" s="38" t="s">
        <v>7</v>
      </c>
      <c r="R2" s="37" t="s">
        <v>8</v>
      </c>
      <c r="S2" s="38" t="s">
        <v>7</v>
      </c>
      <c r="T2" s="37" t="s">
        <v>8</v>
      </c>
      <c r="U2" s="38" t="s">
        <v>7</v>
      </c>
      <c r="V2" s="37" t="s">
        <v>8</v>
      </c>
      <c r="W2" s="38" t="s">
        <v>7</v>
      </c>
      <c r="X2" s="37" t="s">
        <v>8</v>
      </c>
      <c r="Y2" s="38" t="s">
        <v>7</v>
      </c>
      <c r="Z2" s="37"/>
      <c r="AA2" s="38"/>
      <c r="AB2" s="37"/>
    </row>
    <row r="3" spans="1:28" ht="13.8" x14ac:dyDescent="0.3">
      <c r="A3" s="19" t="str">
        <f ca="1">IFERROR(__xludf.DUMMYFUNCTION("IMPORTRANGE(""https://docs.google.com/spreadsheets/d/1QhB8PQTY8YUUQD_I9eNd1IpDRhJrZsYwWVcj9i9hRsU/edit?not_in_iframe=true#gid=1104366388"",""Апрель24!B3"")"),"Выручка всего")</f>
        <v>Выручка всего</v>
      </c>
      <c r="B3" s="23">
        <v>900000</v>
      </c>
      <c r="C3" s="20">
        <f>SUM(C4:C7)</f>
        <v>864401.10000000009</v>
      </c>
      <c r="D3" s="23">
        <f>SUM(D4:D7)</f>
        <v>1200000</v>
      </c>
      <c r="E3" s="20">
        <f>'[1]Февраль 2025'!E3</f>
        <v>990264.4</v>
      </c>
      <c r="F3" s="19">
        <f>SUM(F4:F7)</f>
        <v>1150000</v>
      </c>
      <c r="G3" s="20">
        <f>SUM(G4:G7)</f>
        <v>1458108.42</v>
      </c>
      <c r="H3" s="21">
        <f>SUM(H4:H7)</f>
        <v>1300000</v>
      </c>
      <c r="I3" s="22">
        <v>1513597</v>
      </c>
      <c r="J3" s="23">
        <v>1400000</v>
      </c>
      <c r="K3" s="20">
        <f>SUM(K4:K7)</f>
        <v>1632894.85</v>
      </c>
      <c r="L3" s="19">
        <f ca="1">SUM(L4:L7)</f>
        <v>1683403.254</v>
      </c>
      <c r="M3" s="20">
        <f>SUM(M4:M7)</f>
        <v>1306094</v>
      </c>
      <c r="N3" s="19">
        <f ca="1">SUM(N4:N7)</f>
        <v>1602595.8</v>
      </c>
      <c r="O3" s="20">
        <f>SUM(O4:O7)</f>
        <v>1333576.6200000001</v>
      </c>
      <c r="P3" s="19">
        <f ca="1">SUM(P4:P7)</f>
        <v>1541741.79</v>
      </c>
      <c r="Q3" s="20">
        <f>SUM(Q4:Q7)</f>
        <v>1440484.45</v>
      </c>
      <c r="R3" s="19">
        <f ca="1">SUM(R4:R7)</f>
        <v>1568755.38</v>
      </c>
      <c r="S3" s="20">
        <f>SUM(S4:S7)</f>
        <v>1265401.4000000001</v>
      </c>
      <c r="T3" s="19">
        <f ca="1">SUM(T4:T7)</f>
        <v>1570768.97</v>
      </c>
      <c r="U3" s="20">
        <f>SUM(U4:U7)</f>
        <v>1187114.3499999999</v>
      </c>
      <c r="V3" s="19">
        <f ca="1">SUM(V4:V7)</f>
        <v>1271309.74</v>
      </c>
      <c r="W3" s="20">
        <f>SUM(W4:W7)</f>
        <v>1248421.8</v>
      </c>
      <c r="X3" s="19">
        <f ca="1">SUM(X4:X7)</f>
        <v>1271309.74</v>
      </c>
      <c r="Y3" s="20">
        <f>'[1]Декабрь 2025 '!E3</f>
        <v>1663910.9900000002</v>
      </c>
      <c r="Z3" s="2"/>
    </row>
    <row r="4" spans="1:28" ht="13.8" x14ac:dyDescent="0.3">
      <c r="A4" s="17" t="s">
        <v>5</v>
      </c>
      <c r="B4" s="36"/>
      <c r="C4" s="14">
        <f>'[1]Январь 25'!E9</f>
        <v>399236.23</v>
      </c>
      <c r="D4" s="7">
        <v>650000</v>
      </c>
      <c r="E4" s="2">
        <f>'[1]Февраль 2025'!E9</f>
        <v>486561.64</v>
      </c>
      <c r="F4" s="7">
        <v>535000</v>
      </c>
      <c r="G4" s="2">
        <f>'[1]Март 2025'!E9</f>
        <v>720356.57</v>
      </c>
      <c r="H4" s="35">
        <v>600000</v>
      </c>
      <c r="I4" s="7">
        <v>720026</v>
      </c>
      <c r="J4" s="7">
        <v>700000</v>
      </c>
      <c r="K4" s="2">
        <f>'[1]Май 2025'!E6</f>
        <v>816963</v>
      </c>
      <c r="L4" s="2">
        <f ca="1">IFERROR(__xludf.DUMMYFUNCTION("IMPORTRANGE(""https://docs.google.com/spreadsheets/d/17onxLAuv8u1wcvO_NM8ZiH3IVjaXPqUPtK2Aus13cIg/edit?usp=sharing"",""БЮДЖЕТ на 2025г!BY6"")"),840000)</f>
        <v>840000</v>
      </c>
      <c r="M4" s="2">
        <f>'[1]Июнь 2025'!$E$6</f>
        <v>612347</v>
      </c>
      <c r="N4" s="2">
        <f ca="1">IFERROR(__xludf.DUMMYFUNCTION("IMPORTRANGE(""https://docs.google.com/spreadsheets/d/17onxLAuv8u1wcvO_NM8ZiH3IVjaXPqUPtK2Aus13cIg/edit?usp=sharing"",""БЮДЖЕТ на 2025г!CM6"")"),840000)</f>
        <v>840000</v>
      </c>
      <c r="O4" s="2">
        <f>'[1]Июль 2025'!$E$6</f>
        <v>623706.17999999993</v>
      </c>
      <c r="P4" s="2">
        <f ca="1">IFERROR(__xludf.DUMMYFUNCTION("IMPORTRANGE(""https://docs.google.com/spreadsheets/d/17onxLAuv8u1wcvO_NM8ZiH3IVjaXPqUPtK2Aus13cIg/edit?usp=sharing"",""БЮДЖЕТ на 2025г!DA6"")"),700000)</f>
        <v>700000</v>
      </c>
      <c r="Q4" s="2">
        <f>'[1]Август 2025'!$E$6</f>
        <v>720540.17999999993</v>
      </c>
      <c r="R4" s="2">
        <f ca="1">IFERROR(__xludf.DUMMYFUNCTION("IMPORTRANGE(""https://docs.google.com/spreadsheets/d/17onxLAuv8u1wcvO_NM8ZiH3IVjaXPqUPtK2Aus13cIg/edit?usp=sharing"",""БЮДЖЕТ на 2025г!DO6"")"),770000)</f>
        <v>770000</v>
      </c>
      <c r="S4" s="2">
        <f>'[1]Сентябрь 2025'!$E$6</f>
        <v>638003.71000000008</v>
      </c>
      <c r="T4" s="2">
        <f ca="1">IFERROR(__xludf.DUMMYFUNCTION("IMPORTRANGE(""https://docs.google.com/spreadsheets/d/17onxLAuv8u1wcvO_NM8ZiH3IVjaXPqUPtK2Aus13cIg/edit?usp=sharing"",""БЮДЖЕТ на 2025г!EC6"")"),770000)</f>
        <v>770000</v>
      </c>
      <c r="U4" s="2">
        <f>'[1]Октябрь 2025'!$E$6</f>
        <v>580266.41999999993</v>
      </c>
      <c r="V4" s="2">
        <f ca="1">IFERROR(__xludf.DUMMYFUNCTION("IMPORTRANGE(""https://docs.google.com/spreadsheets/d/17onxLAuv8u1wcvO_NM8ZiH3IVjaXPqUPtK2Aus13cIg/edit?usp=sharing"",""БЮДЖЕТ на 2025г!Eq6"")"),630000)</f>
        <v>630000</v>
      </c>
      <c r="W4" s="7">
        <f>'[1]Ноябрь 2025'!$E$6</f>
        <v>619243.41</v>
      </c>
      <c r="X4" s="2">
        <f ca="1">IFERROR(__xludf.DUMMYFUNCTION("IMPORTRANGE(""https://docs.google.com/spreadsheets/d/17onxLAuv8u1wcvO_NM8ZiH3IVjaXPqUPtK2Aus13cIg/edit?usp=sharing"",""БЮДЖЕТ на 2025г!FE6"")"),630000)</f>
        <v>630000</v>
      </c>
      <c r="Y4" s="2">
        <f>'[1]Декабрь 2025 '!E6</f>
        <v>851506.39999999991</v>
      </c>
      <c r="Z4" s="2"/>
    </row>
    <row r="5" spans="1:28" ht="13.8" x14ac:dyDescent="0.3">
      <c r="A5" s="17" t="s">
        <v>3</v>
      </c>
      <c r="B5" s="36"/>
      <c r="C5" s="14">
        <f>'[1]Январь 25'!E6</f>
        <v>70613.48</v>
      </c>
      <c r="D5" s="7">
        <v>95000</v>
      </c>
      <c r="E5" s="2">
        <f>'[1]Февраль 2025'!E6</f>
        <v>58916.21</v>
      </c>
      <c r="F5" s="7">
        <v>80000</v>
      </c>
      <c r="G5" s="2">
        <f>'[1]Март 2025'!E6</f>
        <v>109607.56</v>
      </c>
      <c r="H5" s="35">
        <v>85000</v>
      </c>
      <c r="I5" s="7">
        <v>69150</v>
      </c>
      <c r="J5" s="7">
        <v>90000</v>
      </c>
      <c r="K5" s="2">
        <f>'[1]Май 2025'!E7</f>
        <v>111826</v>
      </c>
      <c r="L5" s="2">
        <f ca="1">IFERROR(__xludf.DUMMYFUNCTION("IMPORTRANGE(""https://docs.google.com/spreadsheets/d/17onxLAuv8u1wcvO_NM8ZiH3IVjaXPqUPtK2Aus13cIg/edit?usp=sharing"",""БЮДЖЕТ на 2025г!BY10"")"),126000)</f>
        <v>126000</v>
      </c>
      <c r="M5" s="2">
        <f>'[1]Июнь 2025'!$E$9</f>
        <v>86900.55</v>
      </c>
      <c r="N5" s="2">
        <f ca="1">IFERROR(__xludf.DUMMYFUNCTION("IMPORTRANGE(""https://docs.google.com/spreadsheets/d/17onxLAuv8u1wcvO_NM8ZiH3IVjaXPqUPtK2Aus13cIg/edit?usp=sharing"",""БЮДЖЕТ на 2025г!CM10"")"),126000)</f>
        <v>126000</v>
      </c>
      <c r="O5" s="2">
        <f>'[1]Июль 2025'!$E$9</f>
        <v>106042.12</v>
      </c>
      <c r="P5" s="2">
        <f ca="1">IFERROR(__xludf.DUMMYFUNCTION("IMPORTRANGE(""https://docs.google.com/spreadsheets/d/17onxLAuv8u1wcvO_NM8ZiH3IVjaXPqUPtK2Aus13cIg/edit?usp=sharing"",""БЮДЖЕТ на 2025г!DA10"")"),105000)</f>
        <v>105000</v>
      </c>
      <c r="Q5" s="2">
        <f>'[1]Август 2025'!$E$9</f>
        <v>117875.02</v>
      </c>
      <c r="R5" s="2">
        <f ca="1">IFERROR(__xludf.DUMMYFUNCTION("IMPORTRANGE(""https://docs.google.com/spreadsheets/d/17onxLAuv8u1wcvO_NM8ZiH3IVjaXPqUPtK2Aus13cIg/edit?usp=sharing"",""БЮДЖЕТ на 2025г!DO10"")"),100000)</f>
        <v>100000</v>
      </c>
      <c r="S5" s="2">
        <f>'[1]Сентябрь 2025'!$E$9</f>
        <v>111179.49</v>
      </c>
      <c r="T5" s="2">
        <f ca="1">IFERROR(__xludf.DUMMYFUNCTION("IMPORTRANGE(""https://docs.google.com/spreadsheets/d/17onxLAuv8u1wcvO_NM8ZiH3IVjaXPqUPtK2Aus13cIg/edit?usp=sharing"",""БЮДЖЕТ на 2025г!EC10"")"),124000)</f>
        <v>124000</v>
      </c>
      <c r="U5" s="2">
        <f>'[1]Октябрь 2025'!$E$9</f>
        <v>120256.77999999998</v>
      </c>
      <c r="V5" s="2">
        <f ca="1">IFERROR(__xludf.DUMMYFUNCTION("IMPORTRANGE(""https://docs.google.com/spreadsheets/d/17onxLAuv8u1wcvO_NM8ZiH3IVjaXPqUPtK2Aus13cIg/edit?usp=sharing"",""БЮДЖЕТ на 2025г!EQ10"")"),94500)</f>
        <v>94500</v>
      </c>
      <c r="W5" s="2">
        <f>'[1]Ноябрь 2025'!$E$9</f>
        <v>112942.89000000001</v>
      </c>
      <c r="X5" s="2">
        <f ca="1">IFERROR(__xludf.DUMMYFUNCTION("IMPORTRANGE(""https://docs.google.com/spreadsheets/d/17onxLAuv8u1wcvO_NM8ZiH3IVjaXPqUPtK2Aus13cIg/edit?usp=sharing"",""БЮДЖЕТ на 2025г!FE10"")"),94500)</f>
        <v>94500</v>
      </c>
      <c r="Y5" s="2">
        <f>'[1]Декабрь 2025 '!E9</f>
        <v>200849.83000000002</v>
      </c>
      <c r="Z5" s="2"/>
    </row>
    <row r="6" spans="1:28" ht="13.8" x14ac:dyDescent="0.3">
      <c r="A6" s="17" t="s">
        <v>2</v>
      </c>
      <c r="B6" s="36"/>
      <c r="C6" s="14">
        <f>'[1]Январь 25'!E7</f>
        <v>10400</v>
      </c>
      <c r="D6" s="7">
        <v>22000</v>
      </c>
      <c r="E6" s="2">
        <f>'[1]Февраль 2025'!E7</f>
        <v>4919.28</v>
      </c>
      <c r="F6" s="7">
        <v>10000</v>
      </c>
      <c r="G6" s="2">
        <f>'[1]Март 2025'!E7</f>
        <v>20790</v>
      </c>
      <c r="H6" s="35">
        <v>25000</v>
      </c>
      <c r="I6" s="7">
        <v>33440</v>
      </c>
      <c r="J6" s="7">
        <v>20000</v>
      </c>
      <c r="K6" s="2">
        <f>'[1]Май 2025'!E8</f>
        <v>7330</v>
      </c>
      <c r="L6" s="2">
        <f ca="1">IFERROR(__xludf.DUMMYFUNCTION("IMPORTRANGE(""https://docs.google.com/spreadsheets/d/17onxLAuv8u1wcvO_NM8ZiH3IVjaXPqUPtK2Aus13cIg/edit?usp=sharing"",""БЮДЖЕТ на 2025г!BY12"")"),15000)</f>
        <v>15000</v>
      </c>
      <c r="M6" s="2">
        <f>'[1]Июнь 2025'!$E$10</f>
        <v>26220</v>
      </c>
      <c r="N6" s="2">
        <f ca="1">IFERROR(__xludf.DUMMYFUNCTION("IMPORTRANGE(""https://docs.google.com/spreadsheets/d/17onxLAuv8u1wcvO_NM8ZiH3IVjaXPqUPtK2Aus13cIg/edit?usp=sharing"",""БЮДЖЕТ на 2025г!CM12"")"),15000)</f>
        <v>15000</v>
      </c>
      <c r="O6" s="2">
        <f>'[1]Июль 2025'!$E$10</f>
        <v>7900</v>
      </c>
      <c r="P6" s="2">
        <f ca="1">IFERROR(__xludf.DUMMYFUNCTION("IMPORTRANGE(""https://docs.google.com/spreadsheets/d/17onxLAuv8u1wcvO_NM8ZiH3IVjaXPqUPtK2Aus13cIg/edit?usp=sharing"",""БЮДЖЕТ на 2025г!DA12"")"),15000)</f>
        <v>15000</v>
      </c>
      <c r="Q6" s="2">
        <f>'[1]Август 2025'!$E$10</f>
        <v>4720</v>
      </c>
      <c r="R6" s="2">
        <f ca="1">IFERROR(__xludf.DUMMYFUNCTION("IMPORTRANGE(""https://docs.google.com/spreadsheets/d/17onxLAuv8u1wcvO_NM8ZiH3IVjaXPqUPtK2Aus13cIg/edit?usp=sharing"",""БЮДЖЕТ на 2025г!DO12"")"),15000)</f>
        <v>15000</v>
      </c>
      <c r="S6" s="2">
        <f>'[1]Сентябрь 2025'!$E$10</f>
        <v>7600</v>
      </c>
      <c r="T6" s="2">
        <f ca="1">IFERROR(__xludf.DUMMYFUNCTION("IMPORTRANGE(""https://docs.google.com/spreadsheets/d/17onxLAuv8u1wcvO_NM8ZiH3IVjaXPqUPtK2Aus13cIg/edit?usp=sharing"",""БЮДЖЕТ на 2025г!EC12"")"),31000)</f>
        <v>31000</v>
      </c>
      <c r="U6" s="2">
        <f>'[1]Октябрь 2025'!$E$10</f>
        <v>25360</v>
      </c>
      <c r="V6" s="2">
        <f ca="1">IFERROR(__xludf.DUMMYFUNCTION("IMPORTRANGE(""https://docs.google.com/spreadsheets/d/17onxLAuv8u1wcvO_NM8ZiH3IVjaXPqUPtK2Aus13cIg/edit?usp=sharing"",""БЮДЖЕТ на 2025г!EQ12"")"),15000)</f>
        <v>15000</v>
      </c>
      <c r="W6" s="2">
        <f>'[1]Ноябрь 2025'!$E$10</f>
        <v>4280</v>
      </c>
      <c r="X6" s="2">
        <f ca="1">IFERROR(__xludf.DUMMYFUNCTION("IMPORTRANGE(""https://docs.google.com/spreadsheets/d/17onxLAuv8u1wcvO_NM8ZiH3IVjaXPqUPtK2Aus13cIg/edit?usp=sharing"",""БЮДЖЕТ на 2025г!FE12"")"),15000)</f>
        <v>15000</v>
      </c>
      <c r="Y6" s="2">
        <f>'[1]Декабрь 2025 '!E10</f>
        <v>13913.509999999998</v>
      </c>
      <c r="Z6" s="2"/>
    </row>
    <row r="7" spans="1:28" ht="13.8" x14ac:dyDescent="0.3">
      <c r="A7" s="17" t="s">
        <v>1</v>
      </c>
      <c r="B7" s="36"/>
      <c r="C7" s="14">
        <f>'[1]Январь 25'!E8</f>
        <v>384151.39000000007</v>
      </c>
      <c r="D7" s="7">
        <v>433000</v>
      </c>
      <c r="E7" s="2">
        <f>'[1]Февраль 2025'!E8</f>
        <v>439867.27</v>
      </c>
      <c r="F7" s="7">
        <v>525000</v>
      </c>
      <c r="G7" s="2">
        <f>'[1]Март 2025'!E8</f>
        <v>607354.29</v>
      </c>
      <c r="H7" s="35">
        <v>590000</v>
      </c>
      <c r="I7" s="7">
        <v>690981</v>
      </c>
      <c r="J7" s="7">
        <v>590000</v>
      </c>
      <c r="K7" s="2">
        <f>'[1]Май 2025'!E9</f>
        <v>696775.85</v>
      </c>
      <c r="L7" s="2">
        <f ca="1">IFERROR(__xludf.DUMMYFUNCTION("IMPORTRANGE(""https://docs.google.com/spreadsheets/d/17onxLAuv8u1wcvO_NM8ZiH3IVjaXPqUPtK2Aus13cIg/edit?usp=sharing"",""БЮДЖЕТ на 2025г!BY8"")"),702403.254)</f>
        <v>702403.25399999996</v>
      </c>
      <c r="M7" s="2">
        <f>'[1]Июнь 2025'!$E$12</f>
        <v>580626.44999999995</v>
      </c>
      <c r="N7" s="2">
        <f ca="1">IFERROR(__xludf.DUMMYFUNCTION("IMPORTRANGE(""https://docs.google.com/spreadsheets/d/17onxLAuv8u1wcvO_NM8ZiH3IVjaXPqUPtK2Aus13cIg/edit?usp=sharing"",""БЮДЖЕТ на 2025г!CM8"")"),621595.8)</f>
        <v>621595.80000000005</v>
      </c>
      <c r="O7" s="2">
        <f>'[1]Июль 2025'!$E$12</f>
        <v>595928.32000000007</v>
      </c>
      <c r="P7" s="2">
        <f ca="1">IFERROR(__xludf.DUMMYFUNCTION("IMPORTRANGE(""https://docs.google.com/spreadsheets/d/17onxLAuv8u1wcvO_NM8ZiH3IVjaXPqUPtK2Aus13cIg/edit?usp=sharing"",""БЮДЖЕТ на 2025г!DA8"")"),721741.79)</f>
        <v>721741.79</v>
      </c>
      <c r="Q7" s="2">
        <f>'[1]Август 2025'!$E$12</f>
        <v>597349.25</v>
      </c>
      <c r="R7" s="2">
        <f ca="1">IFERROR(__xludf.DUMMYFUNCTION("IMPORTRANGE(""https://docs.google.com/spreadsheets/d/17onxLAuv8u1wcvO_NM8ZiH3IVjaXPqUPtK2Aus13cIg/edit?usp=sharing"",""БЮДЖЕТ на 2025г!DO8"")"),683755.38)</f>
        <v>683755.38</v>
      </c>
      <c r="S7" s="2">
        <f>'[1]Сентябрь 2025'!$E$12</f>
        <v>508618.2</v>
      </c>
      <c r="T7" s="2">
        <f ca="1">IFERROR(__xludf.DUMMYFUNCTION("IMPORTRANGE(""https://docs.google.com/spreadsheets/d/17onxLAuv8u1wcvO_NM8ZiH3IVjaXPqUPtK2Aus13cIg/edit?usp=sharing"",""БЮДЖЕТ на 2025г!EC8"")"),645768.97)</f>
        <v>645768.97</v>
      </c>
      <c r="U7" s="2">
        <f>'[1]Октябрь 2025'!$E$12</f>
        <v>461231.14999999997</v>
      </c>
      <c r="V7" s="2">
        <f ca="1">IFERROR(__xludf.DUMMYFUNCTION("IMPORTRANGE(""https://docs.google.com/spreadsheets/d/17onxLAuv8u1wcvO_NM8ZiH3IVjaXPqUPtK2Aus13cIg/edit?usp=sharing"",""БЮДЖЕТ на 2025г!EQ8"")"),531809.74)</f>
        <v>531809.74</v>
      </c>
      <c r="W7" s="2">
        <f>'[1]Ноябрь 2025'!$E$12</f>
        <v>511955.5</v>
      </c>
      <c r="X7" s="2">
        <f ca="1">IFERROR(__xludf.DUMMYFUNCTION("IMPORTRANGE(""https://docs.google.com/spreadsheets/d/17onxLAuv8u1wcvO_NM8ZiH3IVjaXPqUPtK2Aus13cIg/edit?usp=sharing"",""БЮДЖЕТ на 2025г!FE8"")"),531809.74)</f>
        <v>531809.74</v>
      </c>
      <c r="Y7" s="2">
        <f>'[1]Декабрь 2025 '!E12</f>
        <v>597641.25</v>
      </c>
      <c r="Z7" s="2"/>
    </row>
    <row r="8" spans="1:28" ht="15.75" customHeight="1" x14ac:dyDescent="0.3">
      <c r="A8" s="44" t="s">
        <v>22</v>
      </c>
      <c r="B8" s="34"/>
      <c r="C8" s="28"/>
      <c r="D8" s="33"/>
      <c r="E8" s="32"/>
      <c r="F8" s="25"/>
      <c r="G8" s="31"/>
      <c r="H8" s="30"/>
      <c r="I8" s="31"/>
      <c r="J8" s="30"/>
      <c r="K8" s="25"/>
      <c r="L8" s="25"/>
      <c r="M8" s="25"/>
      <c r="N8" s="25"/>
      <c r="O8" s="25"/>
      <c r="P8" s="25"/>
      <c r="Q8" s="25"/>
      <c r="R8" s="25"/>
      <c r="S8" s="26"/>
      <c r="T8" s="26"/>
      <c r="U8" s="26"/>
      <c r="V8" s="26"/>
      <c r="W8" s="26"/>
      <c r="X8" s="26"/>
      <c r="Y8" s="26"/>
      <c r="Z8" s="25"/>
    </row>
    <row r="9" spans="1:28" ht="13.8" x14ac:dyDescent="0.3">
      <c r="A9" s="24" t="str">
        <f ca="1">IFERROR(__xludf.DUMMYFUNCTION("IMPORTRANGE(""https://docs.google.com/spreadsheets/d/1QhB8PQTY8YUUQD_I9eNd1IpDRhJrZsYwWVcj9i9hRsU/edit?not_in_iframe=true#gid=1104366388"",""Февраль 24!B3"")"),"Выручка всего")</f>
        <v>Выручка всего</v>
      </c>
      <c r="B9" s="23">
        <v>1900000</v>
      </c>
      <c r="C9" s="22">
        <f>SUM(C10:C14)</f>
        <v>1999606.65</v>
      </c>
      <c r="D9" s="23">
        <f>SUM(D12:D14)</f>
        <v>1810000</v>
      </c>
      <c r="E9" s="20">
        <f>'[1]Февраль 2025'!E15</f>
        <v>2222225.41</v>
      </c>
      <c r="F9" s="19">
        <f>SUM(F10:F14)</f>
        <v>2500000</v>
      </c>
      <c r="G9" s="20">
        <f>SUM(G10:G14)</f>
        <v>2682138.7799999998</v>
      </c>
      <c r="H9" s="21">
        <f>SUM(H10:H14)</f>
        <v>2545000</v>
      </c>
      <c r="I9" s="23">
        <v>2905802</v>
      </c>
      <c r="J9" s="23">
        <v>2835000</v>
      </c>
      <c r="K9" s="20">
        <f>SUM(K10:K14)</f>
        <v>3050448.93</v>
      </c>
      <c r="L9" s="19">
        <f ca="1">SUM(L10:L14)</f>
        <v>3310600</v>
      </c>
      <c r="M9" s="20">
        <f>SUM(M10:M14)</f>
        <v>3137206.02</v>
      </c>
      <c r="N9" s="19">
        <f ca="1">SUM(N10:N14)</f>
        <v>2950600</v>
      </c>
      <c r="O9" s="20">
        <f>SUM(O10:O14)</f>
        <v>3052522.4699999997</v>
      </c>
      <c r="P9" s="19">
        <f ca="1">SUM(P10:P14)</f>
        <v>2865400</v>
      </c>
      <c r="Q9" s="20">
        <f>SUM(Q10:Q14)</f>
        <v>3204695.05</v>
      </c>
      <c r="R9" s="19">
        <f ca="1">SUM(R10:R14)</f>
        <v>3179000</v>
      </c>
      <c r="S9" s="20">
        <f>SUM(S10:S14)</f>
        <v>3206759.7300000004</v>
      </c>
      <c r="T9" s="19">
        <f ca="1">SUM(T10:T14)</f>
        <v>3367000</v>
      </c>
      <c r="U9" s="20">
        <f>SUM(U10:U14)</f>
        <v>3147193.1799999997</v>
      </c>
      <c r="V9" s="19">
        <f ca="1">SUM(V10:V14)</f>
        <v>3090520</v>
      </c>
      <c r="W9" s="20">
        <f>SUM(W10:W14)</f>
        <v>2884709.5900000003</v>
      </c>
      <c r="X9" s="19">
        <f ca="1">SUM(X10:X14)</f>
        <v>3090520</v>
      </c>
      <c r="Y9" s="20">
        <f>'[1]Декабрь 2025 '!E17</f>
        <v>3364982.65</v>
      </c>
      <c r="Z9" s="19"/>
    </row>
    <row r="10" spans="1:28" ht="13.8" x14ac:dyDescent="0.3">
      <c r="A10" s="15" t="s">
        <v>5</v>
      </c>
      <c r="C10" s="14">
        <f>'[1]Январь 25'!E22</f>
        <v>314192.67999999993</v>
      </c>
      <c r="D10" s="7">
        <v>515000</v>
      </c>
      <c r="E10" s="2">
        <f>'[1]Февраль 2025'!E21</f>
        <v>372727.01</v>
      </c>
      <c r="F10" s="7">
        <v>430000</v>
      </c>
      <c r="G10" s="2">
        <f>'[1]Март 2025'!E25</f>
        <v>598335.37</v>
      </c>
      <c r="H10" s="7">
        <v>480000</v>
      </c>
      <c r="I10" s="7">
        <v>680865</v>
      </c>
      <c r="J10" s="7">
        <v>730000</v>
      </c>
      <c r="K10" s="2">
        <f>'[1]Май 2025'!E17</f>
        <v>900145.16</v>
      </c>
      <c r="L10" s="2">
        <f ca="1">IFERROR(__xludf.DUMMYFUNCTION("IMPORTRANGE(""https://docs.google.com/spreadsheets/d/17onxLAuv8u1wcvO_NM8ZiH3IVjaXPqUPtK2Aus13cIg/edit?usp=sharing"",""БЮДЖЕТ на 2025г!BW6"")"),1005000)</f>
        <v>1005000</v>
      </c>
      <c r="M10" s="2">
        <f>'[1]Июнь 2025'!$E$20</f>
        <v>923910</v>
      </c>
      <c r="N10" s="2">
        <f ca="1">IFERROR(__xludf.DUMMYFUNCTION("IMPORTRANGE(""https://docs.google.com/spreadsheets/d/17onxLAuv8u1wcvO_NM8ZiH3IVjaXPqUPtK2Aus13cIg/edit?usp=sharing"",""БЮДЖЕТ на 2025г!CK6"")"),1005000)</f>
        <v>1005000</v>
      </c>
      <c r="O10" s="2">
        <f>'[1]Июль 2025'!$E$20</f>
        <v>751830</v>
      </c>
      <c r="P10" s="2">
        <f ca="1">IFERROR(__xludf.DUMMYFUNCTION("IMPORTRANGE(""https://docs.google.com/spreadsheets/d/17onxLAuv8u1wcvO_NM8ZiH3IVjaXPqUPtK2Aus13cIg/edit?usp=sharing"",""БЮДЖЕТ на 2025г!CY6"")"),670000)</f>
        <v>670000</v>
      </c>
      <c r="Q10" s="2">
        <f>'[1]Август 2025'!$E$20</f>
        <v>853900</v>
      </c>
      <c r="R10" s="2">
        <f ca="1">IFERROR(__xludf.DUMMYFUNCTION("IMPORTRANGE(""https://docs.google.com/spreadsheets/d/17onxLAuv8u1wcvO_NM8ZiH3IVjaXPqUPtK2Aus13cIg/edit?usp=sharing"",""БЮДЖЕТ на 2025г!DM6"")"),804000)</f>
        <v>804000</v>
      </c>
      <c r="S10" s="2">
        <f>'[1]Сентябрь 2025'!$E$20</f>
        <v>815670</v>
      </c>
      <c r="T10" s="2">
        <f ca="1">IFERROR(__xludf.DUMMYFUNCTION("IMPORTRANGE(""https://docs.google.com/spreadsheets/d/17onxLAuv8u1wcvO_NM8ZiH3IVjaXPqUPtK2Aus13cIg/edit?usp=sharing"",""БЮДЖЕТ на 2025г!EA6"")"),871000)</f>
        <v>871000</v>
      </c>
      <c r="U10" s="2">
        <f>'[1]Октябрь 2025'!$E$20</f>
        <v>943700</v>
      </c>
      <c r="V10" s="2">
        <f ca="1">IFERROR(__xludf.DUMMYFUNCTION("IMPORTRANGE(""https://docs.google.com/spreadsheets/d/17onxLAuv8u1wcvO_NM8ZiH3IVjaXPqUPtK2Aus13cIg/edit?usp=sharing"",""БЮДЖЕТ на 2025г!Eo6"")"),871000)</f>
        <v>871000</v>
      </c>
      <c r="W10" s="2">
        <f>'[1]Ноябрь 2025'!$E$20</f>
        <v>785947.39</v>
      </c>
      <c r="X10" s="2">
        <f ca="1">IFERROR(__xludf.DUMMYFUNCTION("IMPORTRANGE(""https://docs.google.com/spreadsheets/d/17onxLAuv8u1wcvO_NM8ZiH3IVjaXPqUPtK2Aus13cIg/edit?usp=sharing"",""БЮДЖЕТ на 2025г!FC6"")"),871000)</f>
        <v>871000</v>
      </c>
      <c r="Y10" s="2">
        <f>'[1]Декабрь 2025 '!E20</f>
        <v>1035300.96</v>
      </c>
      <c r="Z10" s="2"/>
    </row>
    <row r="11" spans="1:28" ht="13.8" x14ac:dyDescent="0.3">
      <c r="A11" s="15" t="s">
        <v>4</v>
      </c>
      <c r="C11" s="14">
        <f>'[1]Январь 25'!E23</f>
        <v>104573.73</v>
      </c>
      <c r="D11" s="7">
        <v>200000</v>
      </c>
      <c r="E11" s="2">
        <f>'[1]Февраль 2025'!E22</f>
        <v>107630</v>
      </c>
      <c r="F11" s="7">
        <v>130000</v>
      </c>
      <c r="G11" s="2">
        <f>'[1]Март 2025'!E26</f>
        <v>137280</v>
      </c>
      <c r="H11" s="7">
        <v>140000</v>
      </c>
      <c r="I11" s="2"/>
      <c r="J11" s="7">
        <v>130000</v>
      </c>
      <c r="K11" s="7">
        <v>0</v>
      </c>
      <c r="L11" s="2">
        <f ca="1">IFERROR(__xludf.DUMMYFUNCTION("IMPORTRANGE(""https://docs.google.com/spreadsheets/d/17onxLAuv8u1wcvO_NM8ZiH3IVjaXPqUPtK2Aus13cIg/edit?usp=sharing"",""БЮДЖЕТ на 2025г!BW7"")"),0)</f>
        <v>0</v>
      </c>
      <c r="M11" s="2">
        <f>'[1]Июнь 2025'!$E$21</f>
        <v>0</v>
      </c>
      <c r="N11" s="2">
        <f ca="1">IFERROR(__xludf.DUMMYFUNCTION("IMPORTRANGE(""https://docs.google.com/spreadsheets/d/17onxLAuv8u1wcvO_NM8ZiH3IVjaXPqUPtK2Aus13cIg/edit?usp=sharing"",""БЮДЖЕТ на 2025г!CK7"")"),0)</f>
        <v>0</v>
      </c>
      <c r="O11" s="2">
        <f>'[1]Июль 2025'!$E$21</f>
        <v>0</v>
      </c>
      <c r="P11" s="2">
        <f ca="1">IFERROR(__xludf.DUMMYFUNCTION("IMPORTRANGE(""https://docs.google.com/spreadsheets/d/17onxLAuv8u1wcvO_NM8ZiH3IVjaXPqUPtK2Aus13cIg/edit?usp=sharing"",""БЮДЖЕТ на 2025г!CY7"")"),0)</f>
        <v>0</v>
      </c>
      <c r="Q11" s="2">
        <f>'[1]Август 2025'!$E$21</f>
        <v>0</v>
      </c>
      <c r="R11" s="2">
        <f ca="1">IFERROR(__xludf.DUMMYFUNCTION("IMPORTRANGE(""https://docs.google.com/spreadsheets/d/17onxLAuv8u1wcvO_NM8ZiH3IVjaXPqUPtK2Aus13cIg/edit?usp=sharing"",""БЮДЖЕТ на 2025г!DM7"")"),0)</f>
        <v>0</v>
      </c>
      <c r="S11" s="2">
        <f>'[1]Сентябрь 2025'!$E$21</f>
        <v>0</v>
      </c>
      <c r="T11" s="2">
        <f ca="1">IFERROR(__xludf.DUMMYFUNCTION("IMPORTRANGE(""https://docs.google.com/spreadsheets/d/17onxLAuv8u1wcvO_NM8ZiH3IVjaXPqUPtK2Aus13cIg/edit?usp=sharing"",""БЮДЖЕТ на 2025г!EA7"")"),0)</f>
        <v>0</v>
      </c>
      <c r="U11" s="2">
        <f>'[1]Октябрь 2025'!$E$21</f>
        <v>0</v>
      </c>
      <c r="V11" s="2">
        <f ca="1">IFERROR(__xludf.DUMMYFUNCTION("IMPORTRANGE(""https://docs.google.com/spreadsheets/d/17onxLAuv8u1wcvO_NM8ZiH3IVjaXPqUPtK2Aus13cIg/edit?usp=sharing"",""БЮДЖЕТ на 2025г!Eo7"")"),0)</f>
        <v>0</v>
      </c>
      <c r="W11" s="2">
        <f>'[1]Ноябрь 2025'!$E$21</f>
        <v>0</v>
      </c>
      <c r="X11" s="2">
        <f ca="1">IFERROR(__xludf.DUMMYFUNCTION("IMPORTRANGE(""https://docs.google.com/spreadsheets/d/17onxLAuv8u1wcvO_NM8ZiH3IVjaXPqUPtK2Aus13cIg/edit?usp=sharing"",""БЮДЖЕТ на 2025г!FC7"")"),0)</f>
        <v>0</v>
      </c>
      <c r="Y11" s="7">
        <v>0</v>
      </c>
      <c r="Z11" s="2"/>
    </row>
    <row r="12" spans="1:28" ht="13.8" x14ac:dyDescent="0.3">
      <c r="A12" s="17" t="s">
        <v>3</v>
      </c>
      <c r="C12" s="14">
        <f>'[1]Январь 25'!E19</f>
        <v>38746.159999999996</v>
      </c>
      <c r="D12" s="7">
        <v>45000</v>
      </c>
      <c r="E12" s="2">
        <f>'[1]Февраль 2025'!E18</f>
        <v>53274.599999999991</v>
      </c>
      <c r="F12" s="7">
        <v>60000</v>
      </c>
      <c r="G12" s="2">
        <f>'[1]Март 2025'!E22</f>
        <v>62329.94000000001</v>
      </c>
      <c r="H12" s="7">
        <v>65000</v>
      </c>
      <c r="I12" s="7">
        <v>134398</v>
      </c>
      <c r="J12" s="7">
        <v>110000</v>
      </c>
      <c r="K12" s="2">
        <f>'[1]Май 2025'!E18</f>
        <v>113756.72000000002</v>
      </c>
      <c r="L12" s="2">
        <f ca="1">IFERROR(__xludf.DUMMYFUNCTION("IMPORTRANGE(""https://docs.google.com/spreadsheets/d/17onxLAuv8u1wcvO_NM8ZiH3IVjaXPqUPtK2Aus13cIg/edit?usp=sharing"",""БЮДЖЕТ на 2025г!BW10"")"),120600)</f>
        <v>120600</v>
      </c>
      <c r="M12" s="2">
        <f>'[1]Июнь 2025'!$E$23</f>
        <v>93157.769999999975</v>
      </c>
      <c r="N12" s="2">
        <f ca="1">IFERROR(__xludf.DUMMYFUNCTION("IMPORTRANGE(""https://docs.google.com/spreadsheets/d/17onxLAuv8u1wcvO_NM8ZiH3IVjaXPqUPtK2Aus13cIg/edit?usp=sharing"",""БЮДЖЕТ на 2025г!CK10"")"),120600)</f>
        <v>120600</v>
      </c>
      <c r="O12" s="2">
        <f>'[1]Июль 2025'!$E$23</f>
        <v>126734.84000000001</v>
      </c>
      <c r="P12" s="2">
        <f ca="1">IFERROR(__xludf.DUMMYFUNCTION("IMPORTRANGE(""https://docs.google.com/spreadsheets/d/17onxLAuv8u1wcvO_NM8ZiH3IVjaXPqUPtK2Aus13cIg/edit?usp=sharing"",""БЮДЖЕТ на 2025г!CY10"")"),80400)</f>
        <v>80400</v>
      </c>
      <c r="Q12" s="2">
        <f>'[1]Август 2025'!$E$23</f>
        <v>138002.70000000001</v>
      </c>
      <c r="R12" s="2">
        <f ca="1">IFERROR(__xludf.DUMMYFUNCTION("IMPORTRANGE(""https://docs.google.com/spreadsheets/d/17onxLAuv8u1wcvO_NM8ZiH3IVjaXPqUPtK2Aus13cIg/edit?usp=sharing"",""БЮДЖЕТ на 2025г!DM10"")"),150000)</f>
        <v>150000</v>
      </c>
      <c r="S12" s="2">
        <f>'[1]Сентябрь 2025'!$E$23</f>
        <v>132228.19999999998</v>
      </c>
      <c r="T12" s="2">
        <f ca="1">IFERROR(__xludf.DUMMYFUNCTION("IMPORTRANGE(""https://docs.google.com/spreadsheets/d/17onxLAuv8u1wcvO_NM8ZiH3IVjaXPqUPtK2Aus13cIg/edit?usp=sharing"",""БЮДЖЕТ на 2025г!EA10"")"),155000)</f>
        <v>155000</v>
      </c>
      <c r="U12" s="2">
        <f>'[1]Октябрь 2025'!$E$23</f>
        <v>112845.15000000001</v>
      </c>
      <c r="V12" s="2">
        <f ca="1">IFERROR(__xludf.DUMMYFUNCTION("IMPORTRANGE(""https://docs.google.com/spreadsheets/d/17onxLAuv8u1wcvO_NM8ZiH3IVjaXPqUPtK2Aus13cIg/edit?usp=sharing"",""БЮДЖЕТ на 2025г!Eo10"")"),104520)</f>
        <v>104520</v>
      </c>
      <c r="W12" s="2">
        <f>'[1]Ноябрь 2025'!$E$23</f>
        <v>121822.51000000001</v>
      </c>
      <c r="X12" s="2">
        <f ca="1">IFERROR(__xludf.DUMMYFUNCTION("IMPORTRANGE(""https://docs.google.com/spreadsheets/d/17onxLAuv8u1wcvO_NM8ZiH3IVjaXPqUPtK2Aus13cIg/edit?usp=sharing"",""БЮДЖЕТ на 2025г!FC10"")"),104520)</f>
        <v>104520</v>
      </c>
      <c r="Y12" s="2">
        <f>'[1]Декабрь 2025 '!E23</f>
        <v>160504.5</v>
      </c>
      <c r="Z12" s="2"/>
    </row>
    <row r="13" spans="1:28" ht="13.8" x14ac:dyDescent="0.3">
      <c r="A13" s="15" t="s">
        <v>2</v>
      </c>
      <c r="C13" s="14">
        <f>'[1]Январь 25'!E20</f>
        <v>17050</v>
      </c>
      <c r="D13" s="7">
        <v>40000</v>
      </c>
      <c r="E13" s="2">
        <f>'[1]Февраль 2025'!E19</f>
        <v>4880</v>
      </c>
      <c r="F13" s="7">
        <v>10000</v>
      </c>
      <c r="G13" s="2">
        <f>'[1]Март 2025'!E23</f>
        <v>36174</v>
      </c>
      <c r="H13" s="7">
        <v>25000</v>
      </c>
      <c r="I13" s="7">
        <v>40224</v>
      </c>
      <c r="J13" s="7">
        <v>25000</v>
      </c>
      <c r="K13" s="2">
        <f>'[1]Май 2025'!E19</f>
        <v>27400</v>
      </c>
      <c r="L13" s="2">
        <f ca="1">IFERROR(__xludf.DUMMYFUNCTION("IMPORTRANGE(""https://docs.google.com/spreadsheets/d/17onxLAuv8u1wcvO_NM8ZiH3IVjaXPqUPtK2Aus13cIg/edit?usp=sharing"",""БЮДЖЕТ на 2025г!BW12"")"),25000)</f>
        <v>25000</v>
      </c>
      <c r="M13" s="2">
        <f>'[1]Июнь 2025'!$E$24</f>
        <v>12350</v>
      </c>
      <c r="N13" s="2">
        <f ca="1">IFERROR(__xludf.DUMMYFUNCTION("IMPORTRANGE(""https://docs.google.com/spreadsheets/d/17onxLAuv8u1wcvO_NM8ZiH3IVjaXPqUPtK2Aus13cIg/edit?usp=sharing"",""БЮДЖЕТ на 2025г!CK12"")"),25000)</f>
        <v>25000</v>
      </c>
      <c r="O13" s="2">
        <f>'[1]Июль 2025'!$E$24</f>
        <v>17114</v>
      </c>
      <c r="P13" s="2">
        <f ca="1">IFERROR(__xludf.DUMMYFUNCTION("IMPORTRANGE(""https://docs.google.com/spreadsheets/d/17onxLAuv8u1wcvO_NM8ZiH3IVjaXPqUPtK2Aus13cIg/edit?usp=sharing"",""БЮДЖЕТ на 2025г!CY12"")"),25000)</f>
        <v>25000</v>
      </c>
      <c r="Q13" s="2">
        <f>'[1]Август 2025'!$E$24</f>
        <v>7020</v>
      </c>
      <c r="R13" s="2">
        <f ca="1">IFERROR(__xludf.DUMMYFUNCTION("IMPORTRANGE(""https://docs.google.com/spreadsheets/d/17onxLAuv8u1wcvO_NM8ZiH3IVjaXPqUPtK2Aus13cIg/edit?usp=sharing"",""БЮДЖЕТ на 2025г!DM12"")"),25000)</f>
        <v>25000</v>
      </c>
      <c r="S13" s="2">
        <f>'[1]Сентябрь 2025'!$E$24</f>
        <v>6440</v>
      </c>
      <c r="T13" s="2">
        <f ca="1">IFERROR(__xludf.DUMMYFUNCTION("IMPORTRANGE(""https://docs.google.com/spreadsheets/d/17onxLAuv8u1wcvO_NM8ZiH3IVjaXPqUPtK2Aus13cIg/edit?usp=sharing"",""БЮДЖЕТ на 2025г!EA12"")"),31000)</f>
        <v>31000</v>
      </c>
      <c r="U13" s="2">
        <f>'[1]Октябрь 2025'!$E$24</f>
        <v>6992</v>
      </c>
      <c r="V13" s="2">
        <f ca="1">IFERROR(__xludf.DUMMYFUNCTION("IMPORTRANGE(""https://docs.google.com/spreadsheets/d/17onxLAuv8u1wcvO_NM8ZiH3IVjaXPqUPtK2Aus13cIg/edit?usp=sharing"",""БЮДЖЕТ на 2025г!Eo12"")"),25000)</f>
        <v>25000</v>
      </c>
      <c r="W13" s="2">
        <f>'[1]Ноябрь 2025'!$E$24</f>
        <v>5888</v>
      </c>
      <c r="X13" s="2">
        <f ca="1">IFERROR(__xludf.DUMMYFUNCTION("IMPORTRANGE(""https://docs.google.com/spreadsheets/d/17onxLAuv8u1wcvO_NM8ZiH3IVjaXPqUPtK2Aus13cIg/edit?usp=sharing"",""БЮДЖЕТ на 2025г!FC12"")"),25000)</f>
        <v>25000</v>
      </c>
      <c r="Y13" s="2">
        <f>'[1]Декабрь 2025 '!E24</f>
        <v>16405.79</v>
      </c>
      <c r="Z13" s="2"/>
    </row>
    <row r="14" spans="1:28" ht="13.8" x14ac:dyDescent="0.3">
      <c r="A14" s="15" t="s">
        <v>1</v>
      </c>
      <c r="C14" s="14">
        <f>'[1]Январь 25'!E21</f>
        <v>1525044.08</v>
      </c>
      <c r="D14" s="7">
        <v>1725000</v>
      </c>
      <c r="E14" s="2">
        <f>'[1]Февраль 2025'!E20</f>
        <v>1683713.8</v>
      </c>
      <c r="F14" s="7">
        <v>1870000</v>
      </c>
      <c r="G14" s="2">
        <f>'[1]Кофейня Март 25'!E22</f>
        <v>1848019.4699999997</v>
      </c>
      <c r="H14" s="7">
        <v>1835000</v>
      </c>
      <c r="I14" s="7">
        <v>2050314</v>
      </c>
      <c r="J14" s="7">
        <v>1840000</v>
      </c>
      <c r="K14" s="2">
        <f>'[1]Май 2025'!E20</f>
        <v>2009147.05</v>
      </c>
      <c r="L14" s="2">
        <f ca="1">IFERROR(__xludf.DUMMYFUNCTION("IMPORTRANGE(""https://docs.google.com/spreadsheets/d/17onxLAuv8u1wcvO_NM8ZiH3IVjaXPqUPtK2Aus13cIg/edit?usp=sharing"",""БЮДЖЕТ на 2025г!BW8"")"),2160000)</f>
        <v>2160000</v>
      </c>
      <c r="M14" s="2">
        <f>'[1]Июнь 2025'!$E$26</f>
        <v>2107788.25</v>
      </c>
      <c r="N14" s="2">
        <f ca="1">IFERROR(__xludf.DUMMYFUNCTION("IMPORTRANGE(""https://docs.google.com/spreadsheets/d/17onxLAuv8u1wcvO_NM8ZiH3IVjaXPqUPtK2Aus13cIg/edit?usp=sharing"",""БЮДЖЕТ на 2025г!CK8"")"),1800000)</f>
        <v>1800000</v>
      </c>
      <c r="O14" s="2">
        <f>'[1]Июль 2025'!$E$26</f>
        <v>2156843.63</v>
      </c>
      <c r="P14" s="2">
        <f ca="1">IFERROR(__xludf.DUMMYFUNCTION("IMPORTRANGE(""https://docs.google.com/spreadsheets/d/17onxLAuv8u1wcvO_NM8ZiH3IVjaXPqUPtK2Aus13cIg/edit?usp=sharing"",""БЮДЖЕТ на 2025г!CY8"")"),2090000)</f>
        <v>2090000</v>
      </c>
      <c r="Q14" s="2">
        <f>'[1]Август 2025'!$E$26</f>
        <v>2205772.35</v>
      </c>
      <c r="R14" s="2">
        <f ca="1">IFERROR(__xludf.DUMMYFUNCTION("IMPORTRANGE(""https://docs.google.com/spreadsheets/d/17onxLAuv8u1wcvO_NM8ZiH3IVjaXPqUPtK2Aus13cIg/edit?usp=sharing"",""БЮДЖЕТ на 2025г!DM8"")"),2200000)</f>
        <v>2200000</v>
      </c>
      <c r="S14" s="2">
        <f>'[1]Сентябрь 2025'!$E$26</f>
        <v>2252421.5300000003</v>
      </c>
      <c r="T14" s="2">
        <f ca="1">IFERROR(__xludf.DUMMYFUNCTION("IMPORTRANGE(""https://docs.google.com/spreadsheets/d/17onxLAuv8u1wcvO_NM8ZiH3IVjaXPqUPtK2Aus13cIg/edit?usp=sharing"",""БЮДЖЕТ на 2025г!EA8"")"),2310000)</f>
        <v>2310000</v>
      </c>
      <c r="U14" s="2">
        <f>'[1]Октябрь 2025'!$E$26</f>
        <v>2083656.03</v>
      </c>
      <c r="V14" s="2">
        <f ca="1">IFERROR(__xludf.DUMMYFUNCTION("IMPORTRANGE(""https://docs.google.com/spreadsheets/d/17onxLAuv8u1wcvO_NM8ZiH3IVjaXPqUPtK2Aus13cIg/edit?usp=sharing"",""БЮДЖЕТ на 2025г!Eo8"")"),2090000)</f>
        <v>2090000</v>
      </c>
      <c r="W14" s="2">
        <f>'[1]Ноябрь 2025'!$E$26</f>
        <v>1971051.6900000002</v>
      </c>
      <c r="X14" s="2">
        <f ca="1">IFERROR(__xludf.DUMMYFUNCTION("IMPORTRANGE(""https://docs.google.com/spreadsheets/d/17onxLAuv8u1wcvO_NM8ZiH3IVjaXPqUPtK2Aus13cIg/edit?usp=sharing"",""БЮДЖЕТ на 2025г!FC8"")"),2090000)</f>
        <v>2090000</v>
      </c>
      <c r="Y14" s="2">
        <f>'[1]Декабрь 2025 '!E26</f>
        <v>2152771.4</v>
      </c>
      <c r="Z14" s="2"/>
    </row>
    <row r="15" spans="1:28" ht="15.75" customHeight="1" x14ac:dyDescent="0.3">
      <c r="A15" s="44" t="s">
        <v>21</v>
      </c>
      <c r="B15" s="28"/>
      <c r="C15" s="28"/>
      <c r="D15" s="29"/>
      <c r="E15" s="28"/>
      <c r="F15" s="25"/>
      <c r="G15" s="27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6"/>
      <c r="T15" s="26"/>
      <c r="U15" s="26"/>
      <c r="V15" s="26"/>
      <c r="W15" s="26"/>
      <c r="X15" s="26"/>
      <c r="Y15" s="26"/>
      <c r="Z15" s="25"/>
    </row>
    <row r="16" spans="1:28" ht="13.8" x14ac:dyDescent="0.3">
      <c r="A16" s="24" t="str">
        <f ca="1">IFERROR(__xludf.DUMMYFUNCTION("IMPORTRANGE(""https://docs.google.com/spreadsheets/d/1QhB8PQTY8YUUQD_I9eNd1IpDRhJrZsYwWVcj9i9hRsU/edit?not_in_iframe=true#gid=1104366388"",""Февраль 24!B22"")"),"Выручка всего")</f>
        <v>Выручка всего</v>
      </c>
      <c r="B16" s="23">
        <v>2500000</v>
      </c>
      <c r="C16" s="20">
        <f>SUM(C17:C23)</f>
        <v>2211970.1799999997</v>
      </c>
      <c r="D16" s="23">
        <f>SUM(D17:D23)</f>
        <v>3285000</v>
      </c>
      <c r="E16" s="20">
        <f>'[1]Февраль 2025'!E28</f>
        <v>3111472.1500000004</v>
      </c>
      <c r="F16" s="19">
        <f>SUM(F17:F23)</f>
        <v>3555000</v>
      </c>
      <c r="G16" s="20">
        <f>SUM(G17:G23)</f>
        <v>3540671.1100000003</v>
      </c>
      <c r="H16" s="23">
        <f>SUM(H17:H23)</f>
        <v>3620000</v>
      </c>
      <c r="I16" s="22">
        <v>3760293</v>
      </c>
      <c r="J16" s="21" t="s">
        <v>6</v>
      </c>
      <c r="K16" s="20">
        <f>SUM(K17:K23)</f>
        <v>4235724.54</v>
      </c>
      <c r="L16" s="19">
        <f ca="1">SUM(L17:L23)</f>
        <v>4156096.4699999997</v>
      </c>
      <c r="M16" s="20">
        <f>SUM(M17:M23)</f>
        <v>3628010.37</v>
      </c>
      <c r="N16" s="19">
        <f ca="1">SUM(N17:N23)</f>
        <v>3910887.7</v>
      </c>
      <c r="O16" s="20">
        <f>SUM(O17:O23)</f>
        <v>3452229.0500000003</v>
      </c>
      <c r="P16" s="19">
        <f ca="1">SUM(P17:P23)</f>
        <v>4239457.3849999998</v>
      </c>
      <c r="Q16" s="20">
        <f>SUM(Q17:Q23)</f>
        <v>3829534.6300000004</v>
      </c>
      <c r="R16" s="19">
        <f ca="1">SUM(R17:R23)</f>
        <v>3960428.3</v>
      </c>
      <c r="S16" s="20">
        <f>SUM(S17:S23)</f>
        <v>3615630.2</v>
      </c>
      <c r="T16" s="19">
        <f ca="1">SUM(T17:T23)</f>
        <v>4069296.4699999997</v>
      </c>
      <c r="U16" s="20">
        <f>SUM(U17:U23)</f>
        <v>3598151.5599999996</v>
      </c>
      <c r="V16" s="19">
        <f ca="1">SUM(V17:V23)</f>
        <v>3723105.5549999988</v>
      </c>
      <c r="W16" s="20">
        <f>SUM(W17:W23)</f>
        <v>3659598.9300000006</v>
      </c>
      <c r="X16" s="19">
        <f ca="1">SUM(X17:X23)</f>
        <v>4265418.3</v>
      </c>
      <c r="Y16" s="20">
        <f>'[1]Декабрь 2025 '!E31</f>
        <v>4056987.05</v>
      </c>
      <c r="Z16" s="19"/>
    </row>
    <row r="17" spans="1:26" ht="13.8" x14ac:dyDescent="0.3">
      <c r="A17" s="15" t="s">
        <v>5</v>
      </c>
      <c r="C17" s="14">
        <f>'[1]Январь 25'!E38</f>
        <v>927695.71</v>
      </c>
      <c r="D17" s="7">
        <v>1550000</v>
      </c>
      <c r="E17" s="2">
        <f>'[1]Февраль 2025'!E30</f>
        <v>2674590.87</v>
      </c>
      <c r="F17" s="7">
        <v>1550000</v>
      </c>
      <c r="G17" s="2">
        <f>'[1]Март 2025'!E43</f>
        <v>1828906</v>
      </c>
      <c r="H17" s="7">
        <v>1800000</v>
      </c>
      <c r="I17" s="7">
        <v>1996823</v>
      </c>
      <c r="J17" s="7">
        <v>2000000</v>
      </c>
      <c r="K17" s="2">
        <f>'[1]Май 2025'!E28</f>
        <v>2280678.3999999999</v>
      </c>
      <c r="L17" s="2">
        <f ca="1">IFERROR(__xludf.DUMMYFUNCTION("IMPORTRANGE(""https://docs.google.com/spreadsheets/d/17onxLAuv8u1wcvO_NM8ZiH3IVjaXPqUPtK2Aus13cIg/edit?usp=sharing"",""БЮДЖЕТ на 2025г!CA6"")"),2040000)</f>
        <v>2040000</v>
      </c>
      <c r="M17" s="2">
        <f>'[1]Июнь 2025'!$E$34</f>
        <v>1869019.34</v>
      </c>
      <c r="N17" s="2">
        <f ca="1">IFERROR(__xludf.DUMMYFUNCTION("IMPORTRANGE(""https://docs.google.com/spreadsheets/d/17onxLAuv8u1wcvO_NM8ZiH3IVjaXPqUPtK2Aus13cIg/edit?usp=sharing"",""БЮДЖЕТ на 2025г!CO6"")"),2040000)</f>
        <v>2040000</v>
      </c>
      <c r="O17" s="2">
        <f>'[1]Июль 2025'!$E$34</f>
        <v>1683038.74</v>
      </c>
      <c r="P17" s="2">
        <f ca="1">IFERROR(__xludf.DUMMYFUNCTION("IMPORTRANGE(""https://docs.google.com/spreadsheets/d/17onxLAuv8u1wcvO_NM8ZiH3IVjaXPqUPtK2Aus13cIg/edit?usp=sharing"",""БЮДЖЕТ на 2025г!DC6"")"),2210000)</f>
        <v>2210000</v>
      </c>
      <c r="Q17" s="2">
        <f>'[1]Август 2025'!$E$34</f>
        <v>1893326.0100000002</v>
      </c>
      <c r="R17" s="2">
        <f ca="1">IFERROR(__xludf.DUMMYFUNCTION("IMPORTRANGE(""https://docs.google.com/spreadsheets/d/17onxLAuv8u1wcvO_NM8ZiH3IVjaXPqUPtK2Aus13cIg/edit?usp=sharing"",""БЮДЖЕТ на 2025г!DQ6"")"),1878500)</f>
        <v>1878500</v>
      </c>
      <c r="S17" s="2">
        <f>'[1]Сентябрь 2025'!$E$34</f>
        <v>1841231.04</v>
      </c>
      <c r="T17" s="2">
        <f ca="1">IFERROR(__xludf.DUMMYFUNCTION("IMPORTRANGE(""https://docs.google.com/spreadsheets/d/17onxLAuv8u1wcvO_NM8ZiH3IVjaXPqUPtK2Aus13cIg/edit?usp=sharing"",""БЮДЖЕТ на 2025г!EE6"")"),1989000)</f>
        <v>1989000</v>
      </c>
      <c r="U17" s="2">
        <f>'[1]Октябрь 2025'!$E$34</f>
        <v>1867417.65</v>
      </c>
      <c r="V17" s="2">
        <f ca="1">IFERROR(__xludf.DUMMYFUNCTION("IMPORTRANGE(""https://docs.google.com/spreadsheets/d/17onxLAuv8u1wcvO_NM8ZiH3IVjaXPqUPtK2Aus13cIg/edit?usp=sharing"",""БЮДЖЕТ на 2025г!ES6"")"),1878500)</f>
        <v>1878500</v>
      </c>
      <c r="W17" s="2">
        <f>'[1]Ноябрь 2025'!$E$34</f>
        <v>2018625.28</v>
      </c>
      <c r="X17" s="2">
        <f ca="1">IFERROR(__xludf.DUMMYFUNCTION("IMPORTRANGE(""https://docs.google.com/spreadsheets/d/17onxLAuv8u1wcvO_NM8ZiH3IVjaXPqUPtK2Aus13cIg/edit?usp=sharing"",""БЮДЖЕТ на 2025г!FG6"")"),2210000)</f>
        <v>2210000</v>
      </c>
      <c r="Y17" s="2">
        <f>'[1]Декабрь 2025 '!E34</f>
        <v>2165289.62</v>
      </c>
      <c r="Z17" s="2"/>
    </row>
    <row r="18" spans="1:26" ht="13.8" x14ac:dyDescent="0.3">
      <c r="A18" s="15" t="s">
        <v>4</v>
      </c>
      <c r="C18" s="14">
        <f>'[1]Январь 25'!E40</f>
        <v>540560</v>
      </c>
      <c r="D18" s="7">
        <v>615000</v>
      </c>
      <c r="E18" s="2">
        <f>'[1]Февраль 2025'!E30</f>
        <v>2674590.87</v>
      </c>
      <c r="F18" s="7">
        <v>685000</v>
      </c>
      <c r="G18" s="2">
        <f>'[1]Март 2025'!E45</f>
        <v>428660</v>
      </c>
      <c r="H18" s="7">
        <v>420000</v>
      </c>
      <c r="I18" s="7">
        <v>445000</v>
      </c>
      <c r="J18" s="7">
        <v>420000</v>
      </c>
      <c r="K18" s="7">
        <f>'[1]Май 2025'!E29</f>
        <v>448920</v>
      </c>
      <c r="L18" s="2">
        <f ca="1">IFERROR(__xludf.DUMMYFUNCTION("IMPORTRANGE(""https://docs.google.com/spreadsheets/d/17onxLAuv8u1wcvO_NM8ZiH3IVjaXPqUPtK2Aus13cIg/edit?usp=sharing"",""БЮДЖЕТ на 2025г!CA7"")"),670000)</f>
        <v>670000</v>
      </c>
      <c r="M18" s="2">
        <f>'[1]Июнь 2025'!$E$35</f>
        <v>375000</v>
      </c>
      <c r="N18" s="2">
        <f ca="1">IFERROR(__xludf.DUMMYFUNCTION("IMPORTRANGE(""https://docs.google.com/spreadsheets/d/17onxLAuv8u1wcvO_NM8ZiH3IVjaXPqUPtK2Aus13cIg/edit?usp=sharing"",""БЮДЖЕТ на 2025г!CO7"")"),500000)</f>
        <v>500000</v>
      </c>
      <c r="O18" s="2">
        <f>'[1]Июль 2025'!$E$35</f>
        <v>386700</v>
      </c>
      <c r="P18" s="2">
        <f ca="1">IFERROR(__xludf.DUMMYFUNCTION("IMPORTRANGE(""https://docs.google.com/spreadsheets/d/17onxLAuv8u1wcvO_NM8ZiH3IVjaXPqUPtK2Aus13cIg/edit?usp=sharing"",""БЮДЖЕТ на 2025г!DC7"")"),500000)</f>
        <v>500000</v>
      </c>
      <c r="Q18" s="2">
        <f>'[1]Август 2025'!$E$35</f>
        <v>424900</v>
      </c>
      <c r="R18" s="2">
        <f ca="1">IFERROR(__xludf.DUMMYFUNCTION("IMPORTRANGE(""https://docs.google.com/spreadsheets/d/17onxLAuv8u1wcvO_NM8ZiH3IVjaXPqUPtK2Aus13cIg/edit?usp=sharing"",""БЮДЖЕТ на 2025г!DQ7"")"),450000)</f>
        <v>450000</v>
      </c>
      <c r="S18" s="2">
        <f>'[1]Сентябрь 2025'!$E$35</f>
        <v>472240</v>
      </c>
      <c r="T18" s="2">
        <f ca="1">IFERROR(__xludf.DUMMYFUNCTION("IMPORTRANGE(""https://docs.google.com/spreadsheets/d/17onxLAuv8u1wcvO_NM8ZiH3IVjaXPqUPtK2Aus13cIg/edit?usp=sharing"",""БЮДЖЕТ на 2025г!EE7"")"),500000)</f>
        <v>500000</v>
      </c>
      <c r="U18" s="2">
        <f>'[1]Октябрь 2025'!$E$35</f>
        <v>305000</v>
      </c>
      <c r="V18" s="2">
        <f ca="1">IFERROR(__xludf.DUMMYFUNCTION("IMPORTRANGE(""https://docs.google.com/spreadsheets/d/17onxLAuv8u1wcvO_NM8ZiH3IVjaXPqUPtK2Aus13cIg/edit?usp=sharing"",""БЮДЖЕТ на 2025г!ES7"")"),400000)</f>
        <v>400000</v>
      </c>
      <c r="W18" s="2">
        <f>'[1]Ноябрь 2025'!$E$35</f>
        <v>410000</v>
      </c>
      <c r="X18" s="2">
        <f ca="1">IFERROR(__xludf.DUMMYFUNCTION("IMPORTRANGE(""https://docs.google.com/spreadsheets/d/17onxLAuv8u1wcvO_NM8ZiH3IVjaXPqUPtK2Aus13cIg/edit?usp=sharing"",""БЮДЖЕТ на 2025г!FG7"")"),400000)</f>
        <v>400000</v>
      </c>
      <c r="Y18" s="2">
        <f>'[1]Декабрь 2025 '!E35</f>
        <v>470000</v>
      </c>
      <c r="Z18" s="2"/>
    </row>
    <row r="19" spans="1:26" ht="13.8" x14ac:dyDescent="0.3">
      <c r="A19" s="18" t="str">
        <f ca="1">IFERROR(__xludf.DUMMYFUNCTION("IMPORTRANGE(""https://docs.google.com/spreadsheets/d/1QhB8PQTY8YUUQD_I9eNd1IpDRhJrZsYwWVcj9i9hRsU/edit?not_in_iframe=true#gid=1104366388"",""Февраль 24!B30"")"),"Лекторий")</f>
        <v>Лекторий</v>
      </c>
      <c r="C19" s="14">
        <f>'[1]Январь 25'!E39</f>
        <v>49500</v>
      </c>
      <c r="D19" s="7">
        <v>70000</v>
      </c>
      <c r="E19" s="2">
        <f>'[1]Февраль 2025'!E29</f>
        <v>436880.68000000005</v>
      </c>
      <c r="F19" s="7">
        <v>170000</v>
      </c>
      <c r="G19" s="2">
        <f>'[1]Март 2025'!E44</f>
        <v>110000</v>
      </c>
      <c r="H19" s="7">
        <v>170000</v>
      </c>
      <c r="I19" s="7">
        <v>313420</v>
      </c>
      <c r="J19" s="7">
        <v>170000</v>
      </c>
      <c r="K19" s="2">
        <f>'[1]Май 2025'!E30</f>
        <v>208980</v>
      </c>
      <c r="L19" s="2">
        <f ca="1">IFERROR(__xludf.DUMMYFUNCTION("IMPORTRANGE(""https://docs.google.com/spreadsheets/d/17onxLAuv8u1wcvO_NM8ZiH3IVjaXPqUPtK2Aus13cIg/edit?usp=sharing"",""БЮДЖЕТ на 2025г!CA9"")"),120000)</f>
        <v>120000</v>
      </c>
      <c r="M19" s="2">
        <f>'[1]Июнь 2025'!$E$36</f>
        <v>147000</v>
      </c>
      <c r="N19" s="2">
        <f ca="1">IFERROR(__xludf.DUMMYFUNCTION("IMPORTRANGE(""https://docs.google.com/spreadsheets/d/17onxLAuv8u1wcvO_NM8ZiH3IVjaXPqUPtK2Aus13cIg/edit?usp=sharing"",""БЮДЖЕТ на 2025г!CO9"")"),120000)</f>
        <v>120000</v>
      </c>
      <c r="O19" s="2">
        <f>'[1]Июль 2025'!$E$36</f>
        <v>159030</v>
      </c>
      <c r="P19" s="2">
        <f ca="1">IFERROR(__xludf.DUMMYFUNCTION("IMPORTRANGE(""https://docs.google.com/spreadsheets/d/17onxLAuv8u1wcvO_NM8ZiH3IVjaXPqUPtK2Aus13cIg/edit?usp=sharing"",""БЮДЖЕТ на 2025г!DC9"")"),120000)</f>
        <v>120000</v>
      </c>
      <c r="Q19" s="2">
        <f>'[1]Август 2025'!$E$36</f>
        <v>140300</v>
      </c>
      <c r="R19" s="2">
        <f ca="1">IFERROR(__xludf.DUMMYFUNCTION("IMPORTRANGE(""https://docs.google.com/spreadsheets/d/17onxLAuv8u1wcvO_NM8ZiH3IVjaXPqUPtK2Aus13cIg/edit?usp=sharing"",""БЮДЖЕТ на 2025г!DQ9"")"),200000)</f>
        <v>200000</v>
      </c>
      <c r="S19" s="2">
        <f>'[1]Сентябрь 2025'!$E$36</f>
        <v>184520</v>
      </c>
      <c r="T19" s="2">
        <f ca="1">IFERROR(__xludf.DUMMYFUNCTION("IMPORTRANGE(""https://docs.google.com/spreadsheets/d/17onxLAuv8u1wcvO_NM8ZiH3IVjaXPqUPtK2Aus13cIg/edit?usp=sharing"",""БЮДЖЕТ на 2025г!EE9"")"),200000)</f>
        <v>200000</v>
      </c>
      <c r="U19" s="2">
        <f>'[1]Октябрь 2025'!$E$36</f>
        <v>351790</v>
      </c>
      <c r="V19" s="2">
        <f ca="1">IFERROR(__xludf.DUMMYFUNCTION("IMPORTRANGE(""https://docs.google.com/spreadsheets/d/17onxLAuv8u1wcvO_NM8ZiH3IVjaXPqUPtK2Aus13cIg/edit?usp=sharing"",""БЮДЖЕТ на 2025г!ES9"")"),200000)</f>
        <v>200000</v>
      </c>
      <c r="W19" s="2">
        <f>'[1]Ноябрь 2025'!$E$36</f>
        <v>214215</v>
      </c>
      <c r="X19" s="2">
        <f ca="1">IFERROR(__xludf.DUMMYFUNCTION("IMPORTRANGE(""https://docs.google.com/spreadsheets/d/17onxLAuv8u1wcvO_NM8ZiH3IVjaXPqUPtK2Aus13cIg/edit?usp=sharing"",""БЮДЖЕТ на 2025г!FG9"")"),200000)</f>
        <v>200000</v>
      </c>
      <c r="Y19" s="2">
        <f>'[1]Декабрь 2025 '!E36</f>
        <v>119080</v>
      </c>
      <c r="Z19" s="2"/>
    </row>
    <row r="20" spans="1:26" ht="13.8" x14ac:dyDescent="0.3">
      <c r="A20" s="17" t="s">
        <v>3</v>
      </c>
      <c r="C20" s="14">
        <f>'[1]Январь 25'!E35</f>
        <v>187645.36999999994</v>
      </c>
      <c r="D20" s="7">
        <v>297000</v>
      </c>
      <c r="E20" s="2">
        <f>'[1]Февраль 2025'!E30</f>
        <v>2674590.87</v>
      </c>
      <c r="F20" s="7">
        <v>310000</v>
      </c>
      <c r="G20" s="2">
        <f>'[1]Март 2025'!E40</f>
        <v>306457.24</v>
      </c>
      <c r="H20" s="7">
        <v>300000</v>
      </c>
      <c r="I20" s="7">
        <v>321519</v>
      </c>
      <c r="J20" s="7">
        <v>310000</v>
      </c>
      <c r="K20" s="2">
        <f>'[1]Май 2025'!E31</f>
        <v>353488.00000000006</v>
      </c>
      <c r="L20" s="2">
        <f ca="1">IFERROR(__xludf.DUMMYFUNCTION("IMPORTRANGE(""https://docs.google.com/spreadsheets/d/17onxLAuv8u1wcvO_NM8ZiH3IVjaXPqUPtK2Aus13cIg/edit?usp=sharing"",""БЮДЖЕТ на 2025г!CA10"")"),326400)</f>
        <v>326400</v>
      </c>
      <c r="M20" s="2">
        <f>'[1]Июнь 2025'!$E$37</f>
        <v>303908.97999999992</v>
      </c>
      <c r="N20" s="2">
        <f ca="1">IFERROR(__xludf.DUMMYFUNCTION("IMPORTRANGE(""https://docs.google.com/spreadsheets/d/17onxLAuv8u1wcvO_NM8ZiH3IVjaXPqUPtK2Aus13cIg/edit?usp=sharing"",""БЮДЖЕТ на 2025г!CO10"")"),326400)</f>
        <v>326400</v>
      </c>
      <c r="O20" s="2">
        <f>'[1]Июль 2025'!$E$37</f>
        <v>264700.46000000008</v>
      </c>
      <c r="P20" s="2">
        <f ca="1">IFERROR(__xludf.DUMMYFUNCTION("IMPORTRANGE(""https://docs.google.com/spreadsheets/d/17onxLAuv8u1wcvO_NM8ZiH3IVjaXPqUPtK2Aus13cIg/edit?usp=sharing"",""БЮДЖЕТ на 2025г!DC10"")"),353600)</f>
        <v>353600</v>
      </c>
      <c r="Q20" s="2">
        <f>'[1]Август 2025'!$E$37</f>
        <v>339773.2</v>
      </c>
      <c r="R20" s="2">
        <f ca="1">IFERROR(__xludf.DUMMYFUNCTION("IMPORTRANGE(""https://docs.google.com/spreadsheets/d/17onxLAuv8u1wcvO_NM8ZiH3IVjaXPqUPtK2Aus13cIg/edit?usp=sharing"",""БЮДЖЕТ на 2025г!DQ10"")"),350000)</f>
        <v>350000</v>
      </c>
      <c r="S20" s="2">
        <f>'[1]Сентябрь 2025'!$E$37</f>
        <v>271835.66000000003</v>
      </c>
      <c r="T20" s="2">
        <f ca="1">IFERROR(__xludf.DUMMYFUNCTION("IMPORTRANGE(""https://docs.google.com/spreadsheets/d/17onxLAuv8u1wcvO_NM8ZiH3IVjaXPqUPtK2Aus13cIg/edit?usp=sharing"",""БЮДЖЕТ на 2025г!EE10"")"),341000)</f>
        <v>341000</v>
      </c>
      <c r="U20" s="2">
        <f>'[1]Октябрь 2025'!$E$37</f>
        <v>230264.05000000002</v>
      </c>
      <c r="V20" s="2">
        <f ca="1">IFERROR(__xludf.DUMMYFUNCTION("IMPORTRANGE(""https://docs.google.com/spreadsheets/d/17onxLAuv8u1wcvO_NM8ZiH3IVjaXPqUPtK2Aus13cIg/edit?usp=sharing"",""БЮДЖЕТ на 2025г!ES10"")"),300560)</f>
        <v>300560</v>
      </c>
      <c r="W20" s="2">
        <f>'[1]Ноябрь 2025'!$E$37</f>
        <v>240123.44999999998</v>
      </c>
      <c r="X20" s="2">
        <f ca="1">IFERROR(__xludf.DUMMYFUNCTION("IMPORTRANGE(""https://docs.google.com/spreadsheets/d/17onxLAuv8u1wcvO_NM8ZiH3IVjaXPqUPtK2Aus13cIg/edit?usp=sharing"",""БЮДЖЕТ на 2025г!FG10"")"),353600)</f>
        <v>353600</v>
      </c>
      <c r="Y20" s="2">
        <f>'[1]Декабрь 2025 '!E37</f>
        <v>251442.08000000002</v>
      </c>
      <c r="Z20" s="2"/>
    </row>
    <row r="21" spans="1:26" ht="13.8" x14ac:dyDescent="0.3">
      <c r="A21" s="15" t="s">
        <v>2</v>
      </c>
      <c r="C21" s="14">
        <f>'[1]Январь 25'!E36</f>
        <v>31642</v>
      </c>
      <c r="D21" s="7">
        <v>58000</v>
      </c>
      <c r="E21" s="2">
        <f>'[1]Февраль 2025'!E31</f>
        <v>90250</v>
      </c>
      <c r="F21" s="7">
        <v>50000</v>
      </c>
      <c r="G21" s="2">
        <f>'[1]Март 2025'!E41</f>
        <v>11884</v>
      </c>
      <c r="H21" s="7">
        <v>50000</v>
      </c>
      <c r="I21" s="7">
        <v>35395</v>
      </c>
      <c r="J21" s="7">
        <v>35000</v>
      </c>
      <c r="K21" s="2">
        <f>'[1]Май 2025'!E32</f>
        <v>30218</v>
      </c>
      <c r="L21" s="2">
        <f ca="1">IFERROR(__xludf.DUMMYFUNCTION("IMPORTRANGE(""https://docs.google.com/spreadsheets/d/17onxLAuv8u1wcvO_NM8ZiH3IVjaXPqUPtK2Aus13cIg/edit?usp=sharing"",""БЮДЖЕТ на 2025г!CA12"")"),50000)</f>
        <v>50000</v>
      </c>
      <c r="M21" s="2">
        <f>'[1]Июнь 2025'!$E$38</f>
        <v>74183.98</v>
      </c>
      <c r="N21" s="2">
        <f ca="1">IFERROR(__xludf.DUMMYFUNCTION("IMPORTRANGE(""https://docs.google.com/spreadsheets/d/17onxLAuv8u1wcvO_NM8ZiH3IVjaXPqUPtK2Aus13cIg/edit?usp=sharing"",""БЮДЖЕТ на 2025г!CO12"")"),50000)</f>
        <v>50000</v>
      </c>
      <c r="O21" s="2">
        <f>'[1]Июль 2025'!$E$38</f>
        <v>51168</v>
      </c>
      <c r="P21" s="2">
        <f ca="1">IFERROR(__xludf.DUMMYFUNCTION("IMPORTRANGE(""https://docs.google.com/spreadsheets/d/17onxLAuv8u1wcvO_NM8ZiH3IVjaXPqUPtK2Aus13cIg/edit?usp=sharing"",""БЮДЖЕТ на 2025г!DC12"")"),50000)</f>
        <v>50000</v>
      </c>
      <c r="Q21" s="2">
        <f>'[1]Август 2025'!$E$38</f>
        <v>62586</v>
      </c>
      <c r="R21" s="2">
        <f ca="1">IFERROR(__xludf.DUMMYFUNCTION("IMPORTRANGE(""https://docs.google.com/spreadsheets/d/17onxLAuv8u1wcvO_NM8ZiH3IVjaXPqUPtK2Aus13cIg/edit?usp=sharing"",""БЮДЖЕТ на 2025г!DQ12"")"),50000)</f>
        <v>50000</v>
      </c>
      <c r="S21" s="2">
        <f>'[1]Сентябрь 2025'!$E$38</f>
        <v>43015</v>
      </c>
      <c r="T21" s="2">
        <f ca="1">IFERROR(__xludf.DUMMYFUNCTION("IMPORTRANGE(""https://docs.google.com/spreadsheets/d/17onxLAuv8u1wcvO_NM8ZiH3IVjaXPqUPtK2Aus13cIg/edit?usp=sharing"",""БЮДЖЕТ на 2025г!EE12"")"),62000)</f>
        <v>62000</v>
      </c>
      <c r="U21" s="2">
        <f>'[1]Октябрь 2025'!$E$38</f>
        <v>58971</v>
      </c>
      <c r="V21" s="2">
        <f ca="1">IFERROR(__xludf.DUMMYFUNCTION("IMPORTRANGE(""https://docs.google.com/spreadsheets/d/17onxLAuv8u1wcvO_NM8ZiH3IVjaXPqUPtK2Aus13cIg/edit?usp=sharing"",""БЮДЖЕТ на 2025г!ES12"")"),50000)</f>
        <v>50000</v>
      </c>
      <c r="W21" s="2">
        <f>'[1]Ноябрь 2025'!$E$38</f>
        <v>13320</v>
      </c>
      <c r="X21" s="2">
        <f ca="1">IFERROR(__xludf.DUMMYFUNCTION("IMPORTRANGE(""https://docs.google.com/spreadsheets/d/17onxLAuv8u1wcvO_NM8ZiH3IVjaXPqUPtK2Aus13cIg/edit?usp=sharing"",""БЮДЖЕТ на 2025г!FG12"")"),50000)</f>
        <v>50000</v>
      </c>
      <c r="Y21" s="2">
        <f>'[1]Декабрь 2025 '!E38</f>
        <v>81574.099999999991</v>
      </c>
      <c r="Z21" s="2"/>
    </row>
    <row r="22" spans="1:26" ht="13.8" x14ac:dyDescent="0.3">
      <c r="A22" s="16" t="str">
        <f ca="1">IFERROR(__xludf.DUMMYFUNCTION("IMPORTRANGE(""https://docs.google.com/spreadsheets/d/1QhB8PQTY8YUUQD_I9eNd1IpDRhJrZsYwWVcj9i9hRsU/edit?not_in_iframe=true#gid=1104366388"",""Февраль 24!B25"")"),"Услуги салона ")</f>
        <v xml:space="preserve">Услуги салона </v>
      </c>
      <c r="C22" s="14">
        <f>'[1]Январь 25'!E49</f>
        <v>71200</v>
      </c>
      <c r="D22" s="7">
        <v>100000</v>
      </c>
      <c r="E22" s="2">
        <f>'[1]Февраль 2025'!E32</f>
        <v>263873.18</v>
      </c>
      <c r="F22" s="7">
        <v>110000</v>
      </c>
      <c r="G22" s="2">
        <f>'[1]Март 2025'!E39</f>
        <v>126400</v>
      </c>
      <c r="H22" s="7">
        <v>130000</v>
      </c>
      <c r="I22" s="7">
        <v>115900</v>
      </c>
      <c r="J22" s="7">
        <v>60000</v>
      </c>
      <c r="K22" s="2">
        <f>'[1]Май 2025'!E33</f>
        <v>107300</v>
      </c>
      <c r="L22" s="2">
        <f ca="1">IFERROR(__xludf.DUMMYFUNCTION("IMPORTRANGE(""https://docs.google.com/spreadsheets/d/17onxLAuv8u1wcvO_NM8ZiH3IVjaXPqUPtK2Aus13cIg/edit?usp=sharing"",""БЮДЖЕТ на 2025г!CA11"")"),122400)</f>
        <v>122400</v>
      </c>
      <c r="M22" s="2">
        <f>'[1]Июнь 2025'!$E$39</f>
        <v>95200</v>
      </c>
      <c r="N22" s="2">
        <f ca="1">IFERROR(__xludf.DUMMYFUNCTION("IMPORTRANGE(""https://docs.google.com/spreadsheets/d/17onxLAuv8u1wcvO_NM8ZiH3IVjaXPqUPtK2Aus13cIg/edit?usp=sharing"",""БЮДЖЕТ на 2025г!CO11"")"),122400)</f>
        <v>122400</v>
      </c>
      <c r="O22" s="2">
        <f>'[1]Июль 2025'!$E$39</f>
        <v>163020</v>
      </c>
      <c r="P22" s="2">
        <f ca="1">IFERROR(__xludf.DUMMYFUNCTION("IMPORTRANGE(""https://docs.google.com/spreadsheets/d/17onxLAuv8u1wcvO_NM8ZiH3IVjaXPqUPtK2Aus13cIg/edit?usp=sharing"",""БЮДЖЕТ на 2025г!DC11"")"),132600)</f>
        <v>132600</v>
      </c>
      <c r="Q22" s="2">
        <f>'[1]Август 2025'!$E$39</f>
        <v>141220</v>
      </c>
      <c r="R22" s="2">
        <f ca="1">IFERROR(__xludf.DUMMYFUNCTION("IMPORTRANGE(""https://docs.google.com/spreadsheets/d/17onxLAuv8u1wcvO_NM8ZiH3IVjaXPqUPtK2Aus13cIg/edit?usp=sharing"",""БЮДЖЕТ на 2025г!DQ11"")"),112710)</f>
        <v>112710</v>
      </c>
      <c r="S22" s="2">
        <f>'[1]Сентябрь 2025'!$E$39</f>
        <v>85300</v>
      </c>
      <c r="T22" s="2">
        <f ca="1">IFERROR(__xludf.DUMMYFUNCTION("IMPORTRANGE(""https://docs.google.com/spreadsheets/d/17onxLAuv8u1wcvO_NM8ZiH3IVjaXPqUPtK2Aus13cIg/edit?usp=sharing"",""БЮДЖЕТ на 2025г!EE11"")"),150000)</f>
        <v>150000</v>
      </c>
      <c r="U22" s="2">
        <f>'[1]Октябрь 2025'!$E$39</f>
        <v>84086</v>
      </c>
      <c r="V22" s="2">
        <f ca="1">IFERROR(__xludf.DUMMYFUNCTION("IMPORTRANGE(""https://docs.google.com/spreadsheets/d/17onxLAuv8u1wcvO_NM8ZiH3IVjaXPqUPtK2Aus13cIg/edit?usp=sharing"",""БЮДЖЕТ на 2025г!ES11"")"),112710)</f>
        <v>112710</v>
      </c>
      <c r="W22" s="2">
        <f>'[1]Ноябрь 2025'!$E$39</f>
        <v>58500</v>
      </c>
      <c r="X22" s="2">
        <f ca="1">IFERROR(__xludf.DUMMYFUNCTION("IMPORTRANGE(""https://docs.google.com/spreadsheets/d/17onxLAuv8u1wcvO_NM8ZiH3IVjaXPqUPtK2Aus13cIg/edit?usp=sharing"",""БЮДЖЕТ на 2025г!FG11"")"),132600)</f>
        <v>132600</v>
      </c>
      <c r="Y22" s="2">
        <f>'[1]Декабрь 2025 '!E39</f>
        <v>143300</v>
      </c>
      <c r="Z22" s="2"/>
    </row>
    <row r="23" spans="1:26" ht="13.8" x14ac:dyDescent="0.3">
      <c r="A23" s="15" t="s">
        <v>1</v>
      </c>
      <c r="C23" s="14">
        <f>'[1]Январь 25'!E37</f>
        <v>403727.1</v>
      </c>
      <c r="D23" s="7">
        <v>595000</v>
      </c>
      <c r="E23" s="2">
        <f>'[1]Февраль 2025'!E33</f>
        <v>30490</v>
      </c>
      <c r="F23" s="7">
        <v>680000</v>
      </c>
      <c r="G23" s="2">
        <f>'[1]Кофейня Март 25'!E38</f>
        <v>728363.87</v>
      </c>
      <c r="H23" s="7">
        <v>750000</v>
      </c>
      <c r="I23" s="7">
        <v>835656</v>
      </c>
      <c r="J23" s="7">
        <v>750000</v>
      </c>
      <c r="K23" s="2">
        <f>'[1]Май 2025'!E34</f>
        <v>806140.14</v>
      </c>
      <c r="L23" s="2">
        <f ca="1">IFERROR(__xludf.DUMMYFUNCTION("IMPORTRANGE(""https://docs.google.com/spreadsheets/d/17onxLAuv8u1wcvO_NM8ZiH3IVjaXPqUPtK2Aus13cIg/edit?usp=sharing"",""БЮДЖЕТ на 2025г!CA8"")"),827296.47)</f>
        <v>827296.47</v>
      </c>
      <c r="M23" s="2">
        <f>'[1]Июнь 2025'!$E$40</f>
        <v>763698.07000000007</v>
      </c>
      <c r="N23" s="2">
        <f ca="1">IFERROR(__xludf.DUMMYFUNCTION("IMPORTRANGE(""https://docs.google.com/spreadsheets/d/17onxLAuv8u1wcvO_NM8ZiH3IVjaXPqUPtK2Aus13cIg/edit?usp=sharing"",""БЮДЖЕТ на 2025г!CO8"")"),752087.7)</f>
        <v>752087.7</v>
      </c>
      <c r="O23" s="2">
        <f>'[1]Июль 2025'!$E$40</f>
        <v>744571.85</v>
      </c>
      <c r="P23" s="2">
        <f ca="1">IFERROR(__xludf.DUMMYFUNCTION("IMPORTRANGE(""https://docs.google.com/spreadsheets/d/17onxLAuv8u1wcvO_NM8ZiH3IVjaXPqUPtK2Aus13cIg/edit?usp=sharing"",""БЮДЖЕТ на 2025г!DC8"")"),873257.385)</f>
        <v>873257.38500000001</v>
      </c>
      <c r="Q23" s="2">
        <f>'[1]Август 2025'!$E$40</f>
        <v>827429.41999999993</v>
      </c>
      <c r="R23" s="2">
        <f ca="1">IFERROR(__xludf.DUMMYFUNCTION("IMPORTRANGE(""https://docs.google.com/spreadsheets/d/17onxLAuv8u1wcvO_NM8ZiH3IVjaXPqUPtK2Aus13cIg/edit?usp=sharing"",""БЮДЖЕТ на 2025г!DQ8"")"),919218.3)</f>
        <v>919218.3</v>
      </c>
      <c r="S23" s="2">
        <f>'[1]Сентябрь 2025'!$E$40</f>
        <v>717488.5</v>
      </c>
      <c r="T23" s="2">
        <f ca="1">IFERROR(__xludf.DUMMYFUNCTION("IMPORTRANGE(""https://docs.google.com/spreadsheets/d/17onxLAuv8u1wcvO_NM8ZiH3IVjaXPqUPtK2Aus13cIg/edit?usp=sharing"",""БЮДЖЕТ на 2025г!EE8"")"),827296.47)</f>
        <v>827296.47</v>
      </c>
      <c r="U23" s="2">
        <f>'[1]Октябрь 2025'!$E$40</f>
        <v>700622.86</v>
      </c>
      <c r="V23" s="2">
        <f ca="1">IFERROR(__xludf.DUMMYFUNCTION("IMPORTRANGE(""https://docs.google.com/spreadsheets/d/17onxLAuv8u1wcvO_NM8ZiH3IVjaXPqUPtK2Aus13cIg/edit?usp=sharing"",""БЮДЖЕТ на 2025г!ES8"")"),781335.554999999)</f>
        <v>781335.554999999</v>
      </c>
      <c r="W23" s="2">
        <f>'[1]Ноябрь 2025'!$E$40</f>
        <v>704815.2</v>
      </c>
      <c r="X23" s="2">
        <f ca="1">IFERROR(__xludf.DUMMYFUNCTION("IMPORTRANGE(""https://docs.google.com/spreadsheets/d/17onxLAuv8u1wcvO_NM8ZiH3IVjaXPqUPtK2Aus13cIg/edit?usp=sharing"",""БЮДЖЕТ на 2025г!FG8"")"),919218.3)</f>
        <v>919218.3</v>
      </c>
      <c r="Y23" s="2">
        <f>'[1]Декабрь 2025 '!E40</f>
        <v>826301.25</v>
      </c>
      <c r="Z23" s="2"/>
    </row>
    <row r="24" spans="1:26" ht="15.75" customHeight="1" x14ac:dyDescent="0.3">
      <c r="A24" s="13"/>
      <c r="B24" s="11"/>
      <c r="C24" s="12"/>
      <c r="D24" s="11"/>
      <c r="E24" s="8"/>
      <c r="F24" s="11"/>
      <c r="G24" s="8"/>
      <c r="H24" s="10"/>
      <c r="I24" s="9"/>
      <c r="J24" s="10"/>
      <c r="K24" s="9"/>
      <c r="L24" s="10"/>
      <c r="M24" s="9"/>
      <c r="N24" s="10"/>
      <c r="O24" s="9"/>
      <c r="P24" s="10"/>
      <c r="Q24" s="9"/>
      <c r="R24" s="10"/>
      <c r="S24" s="9"/>
      <c r="T24" s="10"/>
      <c r="U24" s="9"/>
      <c r="V24" s="10"/>
      <c r="W24" s="9"/>
      <c r="X24" s="10"/>
      <c r="Y24" s="9"/>
      <c r="Z24" s="8"/>
    </row>
    <row r="25" spans="1:26" ht="13.8" x14ac:dyDescent="0.3">
      <c r="S25" s="2"/>
      <c r="V25" s="4"/>
    </row>
    <row r="26" spans="1:26" ht="13.8" x14ac:dyDescent="0.3">
      <c r="S26" s="2"/>
      <c r="V26" s="4"/>
    </row>
    <row r="27" spans="1:26" ht="13.8" x14ac:dyDescent="0.3">
      <c r="S27" s="2"/>
      <c r="V27" s="4"/>
    </row>
    <row r="28" spans="1:26" ht="13.8" x14ac:dyDescent="0.3">
      <c r="S28" s="2"/>
      <c r="V28" s="4"/>
    </row>
    <row r="29" spans="1:26" ht="13.8" x14ac:dyDescent="0.3">
      <c r="S29" s="2"/>
      <c r="V29" s="4"/>
    </row>
    <row r="30" spans="1:26" ht="13.8" x14ac:dyDescent="0.3">
      <c r="S30" s="2"/>
      <c r="V30" s="5"/>
    </row>
    <row r="31" spans="1:26" ht="13.8" x14ac:dyDescent="0.3">
      <c r="I31" s="7"/>
      <c r="S31" s="2"/>
      <c r="V31" s="4"/>
    </row>
    <row r="32" spans="1:26" ht="13.8" x14ac:dyDescent="0.3">
      <c r="I32" s="7"/>
      <c r="S32" s="2"/>
      <c r="V32" s="4"/>
    </row>
    <row r="33" spans="9:22" ht="13.8" x14ac:dyDescent="0.3">
      <c r="I33" s="6"/>
      <c r="S33" s="2"/>
      <c r="V33" s="4"/>
    </row>
    <row r="34" spans="9:22" ht="13.8" x14ac:dyDescent="0.3">
      <c r="I34" s="6"/>
      <c r="S34" s="2"/>
      <c r="V34" s="4"/>
    </row>
    <row r="35" spans="9:22" ht="13.8" x14ac:dyDescent="0.3">
      <c r="S35" s="2"/>
      <c r="V35" s="4"/>
    </row>
    <row r="36" spans="9:22" ht="13.8" x14ac:dyDescent="0.3">
      <c r="S36" s="2"/>
      <c r="V36" s="5"/>
    </row>
    <row r="37" spans="9:22" ht="13.8" x14ac:dyDescent="0.3">
      <c r="S37" s="2"/>
      <c r="V37" s="4"/>
    </row>
    <row r="38" spans="9:22" ht="13.8" x14ac:dyDescent="0.3">
      <c r="S38" s="2"/>
      <c r="V38" s="4"/>
    </row>
    <row r="39" spans="9:22" ht="13.8" x14ac:dyDescent="0.3">
      <c r="S39" s="2"/>
      <c r="V39" s="4"/>
    </row>
    <row r="40" spans="9:22" ht="13.8" x14ac:dyDescent="0.3">
      <c r="S40" s="2"/>
      <c r="V40" s="4"/>
    </row>
    <row r="41" spans="9:22" ht="13.8" x14ac:dyDescent="0.3">
      <c r="S41" s="2"/>
      <c r="V41" s="3"/>
    </row>
    <row r="42" spans="9:22" ht="13.8" x14ac:dyDescent="0.3">
      <c r="S42" s="2"/>
    </row>
    <row r="43" spans="9:22" ht="13.8" x14ac:dyDescent="0.3">
      <c r="S43" s="2"/>
    </row>
    <row r="44" spans="9:22" ht="13.8" x14ac:dyDescent="0.3">
      <c r="S44" s="2"/>
    </row>
    <row r="45" spans="9:22" ht="13.8" x14ac:dyDescent="0.3">
      <c r="S45" s="2"/>
    </row>
    <row r="46" spans="9:22" ht="13.8" x14ac:dyDescent="0.3">
      <c r="S46" s="2"/>
    </row>
    <row r="47" spans="9:22" ht="13.8" x14ac:dyDescent="0.3">
      <c r="S47" s="2"/>
    </row>
    <row r="48" spans="9:22" ht="13.8" x14ac:dyDescent="0.3">
      <c r="S48" s="2"/>
    </row>
    <row r="49" spans="19:19" ht="13.8" x14ac:dyDescent="0.3">
      <c r="S49" s="2"/>
    </row>
    <row r="50" spans="19:19" ht="13.8" x14ac:dyDescent="0.3">
      <c r="S50" s="2"/>
    </row>
    <row r="51" spans="19:19" ht="13.8" x14ac:dyDescent="0.3">
      <c r="S51" s="2"/>
    </row>
    <row r="52" spans="19:19" ht="13.8" x14ac:dyDescent="0.3">
      <c r="S52" s="2"/>
    </row>
    <row r="53" spans="19:19" ht="13.8" x14ac:dyDescent="0.3">
      <c r="S53" s="2"/>
    </row>
    <row r="54" spans="19:19" ht="13.8" x14ac:dyDescent="0.3">
      <c r="S54" s="2"/>
    </row>
    <row r="55" spans="19:19" ht="13.8" x14ac:dyDescent="0.3">
      <c r="S55" s="2"/>
    </row>
    <row r="56" spans="19:19" ht="13.8" x14ac:dyDescent="0.3">
      <c r="S56" s="2"/>
    </row>
    <row r="57" spans="19:19" ht="13.8" x14ac:dyDescent="0.3">
      <c r="S57" s="2"/>
    </row>
    <row r="58" spans="19:19" ht="13.8" x14ac:dyDescent="0.3">
      <c r="S58" s="2"/>
    </row>
    <row r="59" spans="19:19" ht="13.8" x14ac:dyDescent="0.3">
      <c r="S59" s="2"/>
    </row>
    <row r="60" spans="19:19" ht="13.8" x14ac:dyDescent="0.3">
      <c r="S60" s="2"/>
    </row>
    <row r="61" spans="19:19" ht="13.8" x14ac:dyDescent="0.3">
      <c r="S61" s="2"/>
    </row>
    <row r="62" spans="19:19" ht="13.8" x14ac:dyDescent="0.3">
      <c r="S62" s="2"/>
    </row>
    <row r="63" spans="19:19" ht="13.8" x14ac:dyDescent="0.3">
      <c r="S63" s="2"/>
    </row>
    <row r="64" spans="19:19" ht="13.8" x14ac:dyDescent="0.3">
      <c r="S64" s="2"/>
    </row>
    <row r="65" spans="19:19" ht="13.8" x14ac:dyDescent="0.3">
      <c r="S65" s="2"/>
    </row>
    <row r="66" spans="19:19" ht="13.8" x14ac:dyDescent="0.3">
      <c r="S66" s="2"/>
    </row>
    <row r="67" spans="19:19" ht="13.8" x14ac:dyDescent="0.3">
      <c r="S67" s="2"/>
    </row>
    <row r="68" spans="19:19" ht="13.8" x14ac:dyDescent="0.3">
      <c r="S68" s="2"/>
    </row>
    <row r="69" spans="19:19" ht="13.8" x14ac:dyDescent="0.3">
      <c r="S69" s="2"/>
    </row>
    <row r="70" spans="19:19" ht="13.8" x14ac:dyDescent="0.3">
      <c r="S70" s="2"/>
    </row>
    <row r="71" spans="19:19" ht="13.8" x14ac:dyDescent="0.3">
      <c r="S71" s="2"/>
    </row>
    <row r="72" spans="19:19" ht="13.8" x14ac:dyDescent="0.3">
      <c r="S72" s="2"/>
    </row>
    <row r="73" spans="19:19" ht="13.8" x14ac:dyDescent="0.3">
      <c r="S73" s="2"/>
    </row>
    <row r="74" spans="19:19" ht="13.8" x14ac:dyDescent="0.3">
      <c r="S74" s="2"/>
    </row>
    <row r="75" spans="19:19" ht="13.8" x14ac:dyDescent="0.3">
      <c r="S75" s="2"/>
    </row>
    <row r="76" spans="19:19" ht="13.8" x14ac:dyDescent="0.3">
      <c r="S76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 месяца 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Потапов</dc:creator>
  <cp:lastModifiedBy>Денис Потапов</cp:lastModifiedBy>
  <dcterms:created xsi:type="dcterms:W3CDTF">2026-01-27T14:52:39Z</dcterms:created>
  <dcterms:modified xsi:type="dcterms:W3CDTF">2026-01-27T14:55:52Z</dcterms:modified>
</cp:coreProperties>
</file>